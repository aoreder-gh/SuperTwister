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uliebergen/Dropbox/OCD Strings/Resources/BAP Stringmaking Spreadsheets/"/>
    </mc:Choice>
  </mc:AlternateContent>
  <xr:revisionPtr revIDLastSave="0" documentId="13_ncr:1_{B22EA7DC-C9C2-0347-B5CE-DBDBAC1ED2DF}" xr6:coauthVersionLast="47" xr6:coauthVersionMax="47" xr10:uidLastSave="{00000000-0000-0000-0000-000000000000}"/>
  <bookViews>
    <workbookView xWindow="760" yWindow="700" windowWidth="27960" windowHeight="17580" xr2:uid="{00000000-000D-0000-FFFF-FFFF00000000}"/>
  </bookViews>
  <sheets>
    <sheet name="BAP String Layout Post Setup " sheetId="14" r:id="rId1"/>
  </sheets>
  <definedNames>
    <definedName name="_2PostBuss">'BAP String Layout Post Setup '!$K$31</definedName>
    <definedName name="_2PostControl">'BAP String Layout Post Setup '!$K$26</definedName>
    <definedName name="_2PostSetting">'BAP String Layout Post Setup '!$K$21</definedName>
    <definedName name="_2PostString">'BAP String Layout Post Setup '!$K$21</definedName>
    <definedName name="_2PostYoke">'BAP String Layout Post Setup '!$K$36</definedName>
    <definedName name="BussLength">'BAP String Layout Post Setup '!$G$31</definedName>
    <definedName name="BussTwists">'BAP String Layout Post Setup '!$Q$31</definedName>
    <definedName name="ControlLength">'BAP String Layout Post Setup '!$G$26</definedName>
    <definedName name="ControlTwists">'BAP String Layout Post Setup '!$Q$26</definedName>
    <definedName name="LengthVariable">'BAP String Layout Post Setup '!$G$10</definedName>
    <definedName name="PostWidth">'BAP String Layout Post Setup '!$G$12</definedName>
    <definedName name="StringLength">'BAP String Layout Post Setup '!$G$21</definedName>
    <definedName name="StringTwists">'BAP String Layout Post Setup '!$Q$21</definedName>
    <definedName name="TwistRate">'BAP String Layout Post Setup '!$G$8</definedName>
    <definedName name="YokeLength">'BAP String Layout Post Setup '!$G$36</definedName>
    <definedName name="YokeTwists">'BAP String Layout Post Setup '!$Q$36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6" i="14" l="1"/>
  <c r="K36" i="14" s="1"/>
  <c r="Q31" i="14"/>
  <c r="K31" i="14" s="1"/>
  <c r="Q26" i="14"/>
  <c r="K26" i="14" s="1"/>
  <c r="Q21" i="14"/>
  <c r="K21" i="14" s="1"/>
  <c r="O36" i="14" l="1"/>
  <c r="M36" i="14"/>
  <c r="O31" i="14"/>
  <c r="M31" i="14"/>
  <c r="G37" i="14"/>
  <c r="G22" i="14"/>
  <c r="G27" i="14"/>
  <c r="G32" i="14"/>
  <c r="K37" i="14" l="1"/>
  <c r="O26" i="14"/>
  <c r="O27" i="14" s="1"/>
  <c r="M26" i="14"/>
  <c r="M27" i="14" s="1"/>
  <c r="K32" i="14"/>
  <c r="K27" i="14"/>
  <c r="K22" i="14"/>
  <c r="O37" i="14" l="1"/>
  <c r="M37" i="14"/>
  <c r="O32" i="14"/>
  <c r="M32" i="14"/>
  <c r="O21" i="14"/>
  <c r="O22" i="14" s="1"/>
  <c r="M21" i="14"/>
  <c r="M22" i="14" s="1"/>
</calcChain>
</file>

<file path=xl/sharedStrings.xml><?xml version="1.0" encoding="utf-8"?>
<sst xmlns="http://schemas.openxmlformats.org/spreadsheetml/2006/main" count="55" uniqueCount="52">
  <si>
    <t>String</t>
  </si>
  <si>
    <t>Control Cable</t>
  </si>
  <si>
    <t>5/32  =  .156</t>
  </si>
  <si>
    <t>3/16  =  .187</t>
  </si>
  <si>
    <t>7/32  =  .218</t>
  </si>
  <si>
    <t>13/32  =  .406</t>
  </si>
  <si>
    <t>15/32  =  .468</t>
  </si>
  <si>
    <t>17/32  =  .531</t>
  </si>
  <si>
    <t>19/32  =  .593</t>
  </si>
  <si>
    <t>21/32  =  .656</t>
  </si>
  <si>
    <t>11/16  =  .687</t>
  </si>
  <si>
    <t>23/32  =  .718</t>
  </si>
  <si>
    <t>27/32  =  .843</t>
  </si>
  <si>
    <t>29/32  =  .908</t>
  </si>
  <si>
    <t>15/16  =  .937</t>
  </si>
  <si>
    <t>31/32  =  .968</t>
  </si>
  <si>
    <t>To layout your strings, you will need to start by setting a few variables</t>
  </si>
  <si>
    <t>Twist rate</t>
  </si>
  <si>
    <t>Length variable</t>
  </si>
  <si>
    <t>Now input the specs for the string set you are building.</t>
  </si>
  <si>
    <t>Buss Cable</t>
  </si>
  <si>
    <t>"</t>
  </si>
  <si>
    <t>FINISHED LENGTH</t>
  </si>
  <si>
    <t>2-POST SETTING</t>
  </si>
  <si>
    <t>3-POST SETTING</t>
  </si>
  <si>
    <t>4-POST SETTING</t>
  </si>
  <si>
    <t>TWISTS</t>
  </si>
  <si>
    <t>This data is good as a starting point for most builders. If you find a different formula works for you please let us know. If you have any questions contact us. We are here to help!</t>
  </si>
  <si>
    <t>3/8     =  .375</t>
  </si>
  <si>
    <t>1/2    =  .500</t>
  </si>
  <si>
    <t>7/8    =  .875</t>
  </si>
  <si>
    <t>1       =    1.0</t>
  </si>
  <si>
    <t>3/4    =  .750</t>
  </si>
  <si>
    <t>25/32  =  .781</t>
  </si>
  <si>
    <t>13/16  =  .812</t>
  </si>
  <si>
    <t>9/16   =  .562</t>
  </si>
  <si>
    <t>5/8    =  .625</t>
  </si>
  <si>
    <t>1/16   = .0625</t>
  </si>
  <si>
    <t xml:space="preserve"> 1/8    =   .125</t>
  </si>
  <si>
    <t xml:space="preserve"> 1/4   =  .250</t>
  </si>
  <si>
    <t>9/32    =  .281</t>
  </si>
  <si>
    <t>5/16    =  .312</t>
  </si>
  <si>
    <t>11/32   =  .343</t>
  </si>
  <si>
    <t xml:space="preserve">      7/16   =  .437</t>
  </si>
  <si>
    <t>www.bakerarcheryproducts.com | bap@rtci.net</t>
  </si>
  <si>
    <t>Yoke</t>
  </si>
  <si>
    <t>Post width</t>
  </si>
  <si>
    <t xml:space="preserve">   String Layout Post Settings</t>
  </si>
  <si>
    <t xml:space="preserve">Twist's per inch ratio. </t>
  </si>
  <si>
    <t>Fractions to Decimals</t>
  </si>
  <si>
    <t>outside to outside of two post pins in inches</t>
  </si>
  <si>
    <t>This is a variable to micro-ajust the lengths based on how you build and the material being used. The starting value is 1.00035 and small changes will make a difference. Example: Your string comes out 1/4” short. Manipulate this number until the two post measurement is 1/4” longer.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</si>
</sst>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\ ??/??\&quot;"/>
    <numFmt numFmtId="166" formatCode="0.00000"/>
  </numFmts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8"/>
      <color theme="1"/>
      <name val="Calibri (Body)"/>
    </font>
    <font>
      <b/>
      <sz val="16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0C340"/>
        <bgColor indexed="64"/>
      </patternFill>
    </fill>
    <fill>
      <patternFill patternType="solid">
        <fgColor rgb="FF80C340"/>
        <bgColor auto="1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8E74E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</fills>
  <borders count="3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/>
      <right/>
      <top/>
      <bottom style="medium">
        <color theme="1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3" borderId="0" xfId="0" applyFill="1"/>
    <xf numFmtId="0" fontId="0" fillId="2" borderId="0" xfId="0" applyFill="1"/>
    <xf numFmtId="1" fontId="6" fillId="2" borderId="0" xfId="0" applyNumberFormat="1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1" fontId="6" fillId="8" borderId="23" xfId="0" applyNumberFormat="1" applyFont="1" applyFill="1" applyBorder="1" applyAlignment="1">
      <alignment horizontal="center" vertical="center"/>
    </xf>
    <xf numFmtId="165" fontId="0" fillId="8" borderId="0" xfId="0" applyNumberFormat="1" applyFill="1" applyAlignment="1">
      <alignment horizontal="center" vertical="center"/>
    </xf>
    <xf numFmtId="165" fontId="2" fillId="8" borderId="25" xfId="0" applyNumberFormat="1" applyFont="1" applyFill="1" applyBorder="1" applyAlignment="1">
      <alignment horizontal="center" vertical="center"/>
    </xf>
    <xf numFmtId="165" fontId="0" fillId="8" borderId="25" xfId="0" applyNumberFormat="1" applyFill="1" applyBorder="1" applyAlignment="1">
      <alignment horizontal="center" vertical="center"/>
    </xf>
    <xf numFmtId="1" fontId="6" fillId="8" borderId="25" xfId="0" applyNumberFormat="1" applyFont="1" applyFill="1" applyBorder="1" applyAlignment="1">
      <alignment horizontal="center" vertical="center"/>
    </xf>
    <xf numFmtId="1" fontId="6" fillId="8" borderId="26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 applyAlignment="1">
      <alignment horizontal="center" vertical="center"/>
    </xf>
    <xf numFmtId="165" fontId="0" fillId="2" borderId="0" xfId="0" applyNumberFormat="1" applyFill="1" applyAlignment="1">
      <alignment horizontal="center" vertical="center"/>
    </xf>
    <xf numFmtId="164" fontId="6" fillId="2" borderId="27" xfId="0" applyNumberFormat="1" applyFont="1" applyFill="1" applyBorder="1" applyAlignment="1">
      <alignment horizontal="center" vertical="center"/>
    </xf>
    <xf numFmtId="164" fontId="6" fillId="2" borderId="3" xfId="0" applyNumberFormat="1" applyFont="1" applyFill="1" applyBorder="1" applyAlignment="1">
      <alignment horizontal="center" vertical="center"/>
    </xf>
    <xf numFmtId="0" fontId="0" fillId="2" borderId="11" xfId="0" applyFill="1" applyBorder="1"/>
    <xf numFmtId="0" fontId="0" fillId="2" borderId="29" xfId="0" applyFill="1" applyBorder="1"/>
    <xf numFmtId="0" fontId="0" fillId="2" borderId="12" xfId="0" applyFill="1" applyBorder="1"/>
    <xf numFmtId="0" fontId="0" fillId="2" borderId="18" xfId="0" applyFill="1" applyBorder="1"/>
    <xf numFmtId="0" fontId="0" fillId="2" borderId="17" xfId="0" applyFill="1" applyBorder="1"/>
    <xf numFmtId="0" fontId="0" fillId="2" borderId="13" xfId="0" applyFill="1" applyBorder="1"/>
    <xf numFmtId="0" fontId="0" fillId="2" borderId="30" xfId="0" applyFill="1" applyBorder="1"/>
    <xf numFmtId="0" fontId="0" fillId="2" borderId="14" xfId="0" applyFill="1" applyBorder="1"/>
    <xf numFmtId="164" fontId="6" fillId="6" borderId="11" xfId="0" applyNumberFormat="1" applyFont="1" applyFill="1" applyBorder="1" applyAlignment="1" applyProtection="1">
      <alignment horizontal="right" vertical="center"/>
      <protection locked="0"/>
    </xf>
    <xf numFmtId="0" fontId="0" fillId="4" borderId="0" xfId="0" applyFill="1"/>
    <xf numFmtId="0" fontId="0" fillId="2" borderId="5" xfId="0" applyFill="1" applyBorder="1"/>
    <xf numFmtId="0" fontId="0" fillId="2" borderId="1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2" fillId="2" borderId="0" xfId="0" applyFont="1" applyFill="1"/>
    <xf numFmtId="0" fontId="0" fillId="2" borderId="0" xfId="0" applyFill="1" applyAlignment="1">
      <alignment horizontal="left"/>
    </xf>
    <xf numFmtId="0" fontId="3" fillId="2" borderId="0" xfId="0" applyFont="1" applyFill="1" applyAlignment="1">
      <alignment horizontal="left"/>
    </xf>
    <xf numFmtId="0" fontId="0" fillId="2" borderId="9" xfId="0" applyFill="1" applyBorder="1"/>
    <xf numFmtId="0" fontId="0" fillId="2" borderId="4" xfId="0" applyFill="1" applyBorder="1"/>
    <xf numFmtId="0" fontId="0" fillId="2" borderId="10" xfId="0" applyFill="1" applyBorder="1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8" borderId="19" xfId="0" applyFill="1" applyBorder="1"/>
    <xf numFmtId="0" fontId="0" fillId="8" borderId="20" xfId="0" applyFill="1" applyBorder="1"/>
    <xf numFmtId="0" fontId="0" fillId="8" borderId="20" xfId="0" applyFill="1" applyBorder="1" applyAlignment="1">
      <alignment horizontal="center" vertical="center"/>
    </xf>
    <xf numFmtId="0" fontId="0" fillId="8" borderId="20" xfId="0" applyFill="1" applyBorder="1" applyAlignment="1">
      <alignment vertical="center"/>
    </xf>
    <xf numFmtId="0" fontId="0" fillId="8" borderId="21" xfId="0" applyFill="1" applyBorder="1" applyAlignment="1">
      <alignment horizontal="center" vertical="center"/>
    </xf>
    <xf numFmtId="0" fontId="0" fillId="8" borderId="22" xfId="0" applyFill="1" applyBorder="1"/>
    <xf numFmtId="0" fontId="6" fillId="6" borderId="12" xfId="0" applyFont="1" applyFill="1" applyBorder="1" applyAlignment="1">
      <alignment horizontal="left" vertical="center"/>
    </xf>
    <xf numFmtId="0" fontId="0" fillId="8" borderId="0" xfId="0" applyFill="1"/>
    <xf numFmtId="0" fontId="0" fillId="8" borderId="24" xfId="0" applyFill="1" applyBorder="1"/>
    <xf numFmtId="0" fontId="3" fillId="8" borderId="25" xfId="0" applyFont="1" applyFill="1" applyBorder="1" applyAlignment="1">
      <alignment horizontal="left" vertical="center"/>
    </xf>
    <xf numFmtId="0" fontId="0" fillId="8" borderId="25" xfId="0" applyFill="1" applyBorder="1"/>
    <xf numFmtId="0" fontId="0" fillId="8" borderId="25" xfId="0" applyFill="1" applyBorder="1" applyAlignment="1">
      <alignment horizontal="left" vertical="center"/>
    </xf>
    <xf numFmtId="0" fontId="0" fillId="3" borderId="18" xfId="0" applyFill="1" applyBorder="1"/>
    <xf numFmtId="0" fontId="3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3" fillId="8" borderId="20" xfId="0" applyFont="1" applyFill="1" applyBorder="1" applyAlignment="1">
      <alignment horizontal="left"/>
    </xf>
    <xf numFmtId="0" fontId="0" fillId="8" borderId="21" xfId="0" applyFill="1" applyBorder="1"/>
    <xf numFmtId="0" fontId="0" fillId="8" borderId="26" xfId="0" applyFill="1" applyBorder="1"/>
    <xf numFmtId="0" fontId="0" fillId="5" borderId="28" xfId="0" applyFill="1" applyBorder="1" applyAlignment="1">
      <alignment horizontal="center" vertical="center"/>
    </xf>
    <xf numFmtId="164" fontId="0" fillId="3" borderId="18" xfId="0" applyNumberFormat="1" applyFill="1" applyBorder="1"/>
    <xf numFmtId="0" fontId="0" fillId="5" borderId="2" xfId="0" applyFill="1" applyBorder="1" applyAlignment="1">
      <alignment horizontal="center" vertical="center"/>
    </xf>
    <xf numFmtId="0" fontId="0" fillId="8" borderId="23" xfId="0" applyFill="1" applyBorder="1"/>
    <xf numFmtId="0" fontId="0" fillId="8" borderId="0" xfId="0" applyFill="1" applyAlignment="1">
      <alignment horizontal="center" vertical="center"/>
    </xf>
    <xf numFmtId="0" fontId="0" fillId="5" borderId="11" xfId="0" applyFill="1" applyBorder="1"/>
    <xf numFmtId="0" fontId="0" fillId="5" borderId="29" xfId="0" applyFill="1" applyBorder="1"/>
    <xf numFmtId="0" fontId="0" fillId="5" borderId="12" xfId="0" applyFill="1" applyBorder="1"/>
    <xf numFmtId="0" fontId="0" fillId="5" borderId="18" xfId="0" applyFill="1" applyBorder="1"/>
    <xf numFmtId="0" fontId="0" fillId="5" borderId="17" xfId="0" applyFill="1" applyBorder="1"/>
    <xf numFmtId="0" fontId="0" fillId="5" borderId="0" xfId="0" applyFill="1"/>
    <xf numFmtId="0" fontId="0" fillId="5" borderId="13" xfId="0" applyFill="1" applyBorder="1"/>
    <xf numFmtId="0" fontId="0" fillId="5" borderId="30" xfId="0" applyFill="1" applyBorder="1"/>
    <xf numFmtId="0" fontId="0" fillId="5" borderId="14" xfId="0" applyFill="1" applyBorder="1"/>
    <xf numFmtId="0" fontId="8" fillId="3" borderId="0" xfId="0" applyFont="1" applyFill="1"/>
    <xf numFmtId="0" fontId="8" fillId="5" borderId="0" xfId="0" applyFont="1" applyFill="1" applyAlignment="1">
      <alignment horizontal="right"/>
    </xf>
    <xf numFmtId="0" fontId="8" fillId="5" borderId="0" xfId="0" applyFont="1" applyFill="1"/>
    <xf numFmtId="0" fontId="4" fillId="5" borderId="0" xfId="0" applyFont="1" applyFill="1" applyAlignment="1">
      <alignment horizontal="left"/>
    </xf>
    <xf numFmtId="0" fontId="6" fillId="3" borderId="17" xfId="0" applyFont="1" applyFill="1" applyBorder="1" applyAlignment="1">
      <alignment horizontal="left" vertical="top" textRotation="45"/>
    </xf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7" borderId="13" xfId="0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 vertical="center"/>
    </xf>
    <xf numFmtId="0" fontId="0" fillId="8" borderId="0" xfId="0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1" fontId="6" fillId="2" borderId="27" xfId="0" applyNumberFormat="1" applyFont="1" applyFill="1" applyBorder="1" applyAlignment="1">
      <alignment horizontal="center" vertical="center"/>
    </xf>
    <xf numFmtId="1" fontId="6" fillId="2" borderId="28" xfId="0" applyNumberFormat="1" applyFont="1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8" fillId="5" borderId="0" xfId="0" applyFont="1" applyFill="1" applyAlignment="1">
      <alignment horizontal="center"/>
    </xf>
    <xf numFmtId="0" fontId="8" fillId="5" borderId="0" xfId="0" applyFont="1" applyFill="1" applyAlignment="1">
      <alignment horizontal="right"/>
    </xf>
    <xf numFmtId="0" fontId="5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7" fillId="3" borderId="8" xfId="0" applyFont="1" applyFill="1" applyBorder="1" applyAlignment="1">
      <alignment horizontal="center" vertical="top"/>
    </xf>
    <xf numFmtId="0" fontId="2" fillId="2" borderId="0" xfId="0" applyFont="1" applyFill="1" applyAlignment="1">
      <alignment horizontal="left"/>
    </xf>
    <xf numFmtId="0" fontId="2" fillId="2" borderId="8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2" fontId="6" fillId="6" borderId="15" xfId="0" applyNumberFormat="1" applyFont="1" applyFill="1" applyBorder="1" applyAlignment="1" applyProtection="1">
      <alignment horizontal="center" vertical="center"/>
      <protection locked="0"/>
    </xf>
    <xf numFmtId="2" fontId="6" fillId="6" borderId="16" xfId="0" applyNumberFormat="1" applyFont="1" applyFill="1" applyBorder="1" applyAlignment="1" applyProtection="1">
      <alignment horizontal="center" vertical="center"/>
      <protection locked="0"/>
    </xf>
    <xf numFmtId="166" fontId="6" fillId="6" borderId="15" xfId="0" applyNumberFormat="1" applyFont="1" applyFill="1" applyBorder="1" applyAlignment="1" applyProtection="1">
      <alignment horizontal="center" vertical="center"/>
      <protection locked="0"/>
    </xf>
    <xf numFmtId="166" fontId="6" fillId="6" borderId="16" xfId="0" applyNumberFormat="1" applyFont="1" applyFill="1" applyBorder="1" applyAlignment="1" applyProtection="1">
      <alignment horizontal="center" vertical="center"/>
      <protection locked="0"/>
    </xf>
    <xf numFmtId="164" fontId="6" fillId="6" borderId="15" xfId="0" applyNumberFormat="1" applyFont="1" applyFill="1" applyBorder="1" applyAlignment="1" applyProtection="1">
      <alignment horizontal="center" vertical="center"/>
      <protection locked="0"/>
    </xf>
    <xf numFmtId="164" fontId="6" fillId="6" borderId="16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left" vertical="center" wrapText="1"/>
    </xf>
    <xf numFmtId="0" fontId="3" fillId="2" borderId="17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8E74E"/>
      <color rgb="FF80C340"/>
      <color rgb="FF55812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1222183</xdr:colOff>
      <xdr:row>1</xdr:row>
      <xdr:rowOff>149641</xdr:rowOff>
    </xdr:from>
    <xdr:to>
      <xdr:col>7</xdr:col>
      <xdr:colOff>248544</xdr:colOff>
      <xdr:row>3</xdr:row>
      <xdr:rowOff>136809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0FD00B-9585-1D4D-AE9E-8D6BF987B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53629" y="414980"/>
          <a:ext cx="1162683" cy="1307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E3C5C-16CB-3B40-9C62-84FD6132E6D3}">
  <sheetPr>
    <tabColor rgb="FF98E74E"/>
  </sheetPr>
  <dimension ref="A1:II1663"/>
  <sheetViews>
    <sheetView showGridLines="0" showRowColHeaders="0" tabSelected="1" zoomScale="112" workbookViewId="0">
      <selection activeCell="G21" sqref="G2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5" defaultRowHeight="15" x14ac:dyDescent="0.2"/>
  <cols>
    <col min="1" max="1" width="1.1640625" style="1" customWidth="1"/>
    <col min="2" max="2" width="1.1640625" style="2" customWidth="1"/>
    <col min="3" max="3" width="10" customWidth="1"/>
    <col min="4" max="4" width="3.83203125" customWidth="1"/>
    <col min="5" max="5" width="2" customWidth="1"/>
    <col min="6" max="6" width="19.5" customWidth="1"/>
    <col min="7" max="7" width="11.6640625" customWidth="1"/>
    <col min="8" max="8" width="5.6640625" customWidth="1"/>
    <col min="9" max="9" width="1.1640625" customWidth="1"/>
    <col min="10" max="10" width="5.5" customWidth="1"/>
    <col min="11" max="11" width="17.83203125" customWidth="1"/>
    <col min="12" max="12" width="5.83203125" customWidth="1"/>
    <col min="13" max="13" width="17.83203125" customWidth="1"/>
    <col min="14" max="14" width="5.83203125" customWidth="1"/>
    <col min="15" max="15" width="17.83203125" customWidth="1"/>
    <col min="16" max="16" width="5.83203125" customWidth="1"/>
    <col min="17" max="17" width="11.1640625" customWidth="1"/>
    <col min="18" max="18" width="5.33203125" customWidth="1"/>
    <col min="19" max="19" width="4.5" customWidth="1"/>
    <col min="20" max="20" width="10.33203125" customWidth="1"/>
    <col min="21" max="243" width="10.83203125" style="1"/>
  </cols>
  <sheetData>
    <row r="1" spans="1:243" s="1" customFormat="1" ht="21" customHeight="1" x14ac:dyDescent="0.2"/>
    <row r="2" spans="1:243" s="2" customFormat="1" ht="21" customHeight="1" x14ac:dyDescent="0.2">
      <c r="A2" s="1"/>
      <c r="B2" s="24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</row>
    <row r="3" spans="1:243" s="2" customFormat="1" ht="83" customHeight="1" x14ac:dyDescent="0.2">
      <c r="A3" s="1"/>
      <c r="B3" s="24"/>
      <c r="C3" s="1"/>
      <c r="D3" s="90" t="s">
        <v>47</v>
      </c>
      <c r="E3" s="90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</row>
    <row r="4" spans="1:243" ht="32" customHeight="1" thickBot="1" x14ac:dyDescent="0.25">
      <c r="B4" s="24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43" ht="18" customHeight="1" x14ac:dyDescent="0.2">
      <c r="B5" s="24"/>
      <c r="C5" s="92">
        <v>1</v>
      </c>
      <c r="D5" s="25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7"/>
      <c r="T5" s="1"/>
    </row>
    <row r="6" spans="1:243" ht="16" x14ac:dyDescent="0.2">
      <c r="B6" s="24"/>
      <c r="C6" s="92"/>
      <c r="D6" s="28"/>
      <c r="E6" s="93" t="s">
        <v>16</v>
      </c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4"/>
      <c r="T6" s="1"/>
    </row>
    <row r="7" spans="1:243" ht="16" thickBot="1" x14ac:dyDescent="0.25">
      <c r="B7" s="24"/>
      <c r="C7" s="92"/>
      <c r="D7" s="28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9"/>
      <c r="T7" s="1"/>
    </row>
    <row r="8" spans="1:243" ht="23" customHeight="1" thickBot="1" x14ac:dyDescent="0.25">
      <c r="B8" s="1"/>
      <c r="C8" s="92"/>
      <c r="D8" s="28"/>
      <c r="E8" s="103" t="s">
        <v>17</v>
      </c>
      <c r="F8" s="104"/>
      <c r="G8" s="96">
        <v>0.75</v>
      </c>
      <c r="H8" s="97"/>
      <c r="I8" s="30"/>
      <c r="J8" s="93" t="s">
        <v>48</v>
      </c>
      <c r="K8" s="93"/>
      <c r="L8" s="93"/>
      <c r="M8" s="93"/>
      <c r="N8" s="93"/>
      <c r="O8" s="93"/>
      <c r="P8" s="93"/>
      <c r="Q8" s="93"/>
      <c r="R8" s="93"/>
      <c r="S8" s="29"/>
      <c r="T8" s="1"/>
    </row>
    <row r="9" spans="1:243" ht="20" thickBot="1" x14ac:dyDescent="0.3">
      <c r="B9" s="1"/>
      <c r="C9" s="92"/>
      <c r="D9" s="28"/>
      <c r="E9" s="31"/>
      <c r="F9" s="3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9"/>
      <c r="T9" s="1"/>
    </row>
    <row r="10" spans="1:243" ht="29" customHeight="1" thickBot="1" x14ac:dyDescent="0.25">
      <c r="B10" s="1"/>
      <c r="C10" s="92"/>
      <c r="D10" s="28"/>
      <c r="E10" s="103" t="s">
        <v>18</v>
      </c>
      <c r="F10" s="104"/>
      <c r="G10" s="98">
        <v>1.0035000000000001</v>
      </c>
      <c r="H10" s="99"/>
      <c r="I10" s="30"/>
      <c r="J10" s="75" t="s">
        <v>51</v>
      </c>
      <c r="K10" s="76"/>
      <c r="L10" s="76"/>
      <c r="M10" s="76"/>
      <c r="N10" s="76"/>
      <c r="O10" s="76"/>
      <c r="P10" s="76"/>
      <c r="Q10" s="76"/>
      <c r="R10" s="76"/>
      <c r="S10" s="29"/>
      <c r="T10" s="1"/>
    </row>
    <row r="11" spans="1:243" ht="32" customHeight="1" thickBot="1" x14ac:dyDescent="0.3">
      <c r="B11" s="1"/>
      <c r="C11" s="92"/>
      <c r="D11" s="28"/>
      <c r="E11" s="31"/>
      <c r="F11" s="32"/>
      <c r="G11" s="2"/>
      <c r="H11" s="2"/>
      <c r="I11" s="2"/>
      <c r="J11" s="76"/>
      <c r="K11" s="76"/>
      <c r="L11" s="76"/>
      <c r="M11" s="76"/>
      <c r="N11" s="76"/>
      <c r="O11" s="76"/>
      <c r="P11" s="76"/>
      <c r="Q11" s="76"/>
      <c r="R11" s="76"/>
      <c r="S11" s="29"/>
      <c r="T11" s="1"/>
    </row>
    <row r="12" spans="1:243" ht="23" customHeight="1" thickBot="1" x14ac:dyDescent="0.25">
      <c r="B12" s="1"/>
      <c r="C12" s="92"/>
      <c r="D12" s="28"/>
      <c r="E12" s="103" t="s">
        <v>46</v>
      </c>
      <c r="F12" s="104"/>
      <c r="G12" s="100">
        <v>6</v>
      </c>
      <c r="H12" s="101"/>
      <c r="I12" s="30"/>
      <c r="J12" s="95" t="s">
        <v>50</v>
      </c>
      <c r="K12" s="93"/>
      <c r="L12" s="93"/>
      <c r="M12" s="93"/>
      <c r="N12" s="93"/>
      <c r="O12" s="93"/>
      <c r="P12" s="93"/>
      <c r="Q12" s="93"/>
      <c r="R12" s="93"/>
      <c r="S12" s="29"/>
      <c r="T12" s="1"/>
    </row>
    <row r="13" spans="1:243" ht="24" customHeight="1" thickBot="1" x14ac:dyDescent="0.25">
      <c r="B13" s="1"/>
      <c r="C13" s="92"/>
      <c r="D13" s="33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5"/>
      <c r="T13" s="1"/>
    </row>
    <row r="14" spans="1:243" ht="21" customHeight="1" thickBot="1" x14ac:dyDescent="0.2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43" ht="18" customHeight="1" x14ac:dyDescent="0.2">
      <c r="B15" s="1"/>
      <c r="C15" s="92">
        <v>2</v>
      </c>
      <c r="D15" s="25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7"/>
      <c r="T15" s="1"/>
    </row>
    <row r="16" spans="1:243" ht="16" x14ac:dyDescent="0.2">
      <c r="B16" s="1"/>
      <c r="C16" s="92"/>
      <c r="D16" s="28"/>
      <c r="E16" s="93" t="s">
        <v>19</v>
      </c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29"/>
      <c r="T16" s="1"/>
    </row>
    <row r="17" spans="2:20" ht="12" customHeight="1" x14ac:dyDescent="0.2">
      <c r="B17" s="1"/>
      <c r="C17" s="92"/>
      <c r="D17" s="28"/>
      <c r="E17" s="2"/>
      <c r="F17" s="30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9"/>
      <c r="T17" s="1"/>
    </row>
    <row r="18" spans="2:20" ht="16" x14ac:dyDescent="0.2">
      <c r="B18" s="1"/>
      <c r="C18" s="92"/>
      <c r="D18" s="28"/>
      <c r="E18" s="2"/>
      <c r="F18" s="30"/>
      <c r="G18" s="102" t="s">
        <v>22</v>
      </c>
      <c r="H18" s="102"/>
      <c r="I18" s="2"/>
      <c r="J18" s="2"/>
      <c r="K18" s="36" t="s">
        <v>23</v>
      </c>
      <c r="L18" s="37"/>
      <c r="M18" s="36" t="s">
        <v>24</v>
      </c>
      <c r="N18" s="37"/>
      <c r="O18" s="36" t="s">
        <v>25</v>
      </c>
      <c r="P18" s="37"/>
      <c r="Q18" s="36" t="s">
        <v>26</v>
      </c>
      <c r="R18" s="36"/>
      <c r="S18" s="29"/>
      <c r="T18" s="1"/>
    </row>
    <row r="19" spans="2:20" ht="6" customHeight="1" x14ac:dyDescent="0.2">
      <c r="B19" s="1"/>
      <c r="C19" s="92"/>
      <c r="D19" s="28"/>
      <c r="E19" s="2"/>
      <c r="F19" s="30"/>
      <c r="G19" s="36"/>
      <c r="H19" s="36"/>
      <c r="I19" s="2"/>
      <c r="J19" s="2"/>
      <c r="K19" s="36"/>
      <c r="L19" s="37"/>
      <c r="M19" s="36"/>
      <c r="N19" s="37"/>
      <c r="O19" s="36"/>
      <c r="P19" s="37"/>
      <c r="Q19" s="36"/>
      <c r="R19" s="36"/>
      <c r="S19" s="29"/>
      <c r="T19" s="1"/>
    </row>
    <row r="20" spans="2:20" ht="18" customHeight="1" thickBot="1" x14ac:dyDescent="0.25">
      <c r="B20" s="1"/>
      <c r="C20" s="92"/>
      <c r="D20" s="28"/>
      <c r="E20" s="38"/>
      <c r="F20" s="39"/>
      <c r="G20" s="40"/>
      <c r="H20" s="40"/>
      <c r="I20" s="39"/>
      <c r="J20" s="39"/>
      <c r="K20" s="40"/>
      <c r="L20" s="41"/>
      <c r="M20" s="40"/>
      <c r="N20" s="41"/>
      <c r="O20" s="40"/>
      <c r="P20" s="41"/>
      <c r="Q20" s="40"/>
      <c r="R20" s="42"/>
      <c r="S20" s="29"/>
      <c r="T20" s="1"/>
    </row>
    <row r="21" spans="2:20" ht="30" customHeight="1" x14ac:dyDescent="0.2">
      <c r="B21" s="1"/>
      <c r="C21" s="92"/>
      <c r="D21" s="28"/>
      <c r="E21" s="43"/>
      <c r="F21" s="80" t="s">
        <v>0</v>
      </c>
      <c r="G21" s="23">
        <v>50</v>
      </c>
      <c r="H21" s="44" t="s">
        <v>21</v>
      </c>
      <c r="I21" s="45"/>
      <c r="J21" s="79"/>
      <c r="K21" s="13">
        <f>StringLength+(StringTwists*0.012)*(LengthVariable)</f>
        <v>50.451574999999998</v>
      </c>
      <c r="L21" s="45"/>
      <c r="M21" s="13">
        <f>_2PostSetting-(PostWidth*0.5)</f>
        <v>47.451574999999998</v>
      </c>
      <c r="N21" s="45"/>
      <c r="O21" s="13">
        <f>_2PostSetting-PostWidth</f>
        <v>44.451574999999998</v>
      </c>
      <c r="P21" s="4"/>
      <c r="Q21" s="82">
        <f>TwistRate*StringLength</f>
        <v>37.5</v>
      </c>
      <c r="R21" s="5"/>
      <c r="S21" s="29"/>
      <c r="T21" s="1"/>
    </row>
    <row r="22" spans="2:20" ht="25" customHeight="1" thickBot="1" x14ac:dyDescent="0.25">
      <c r="B22" s="1"/>
      <c r="C22" s="92"/>
      <c r="D22" s="28"/>
      <c r="E22" s="43"/>
      <c r="F22" s="80"/>
      <c r="G22" s="77" t="str">
        <f>IF((($G$21)-INT($G$21))&gt;0.96875,INT($G$21)+1&amp;"""",IF((($G$21)-INT($G$21))&gt;0.90625,INT($G$21)&amp;" 15/16""",IF((($G$21)-INT($G$21))&gt;0.84375,INT($G$21)&amp;" 7/8""",IF((($G$21)-INT($G$21))&gt;0.78125,INT($G$21)&amp;" 13/16""",IF((($G$21)-INT($G$21))&gt;0.71875,INT($G$21)&amp;" 3/4""",IF((($G$21)-INT($G$21))&gt;0.65625,INT($G$21)&amp;" 11/16""",IF((($G$21)-INT($G$21))&gt;0.59375,INT($G$21)&amp;" 5/8""",IF((($G$21)-INT($G$21))&gt;0.53125,INT($G$21)&amp;" 9/16""",IF((($G$21)-INT($G$21))&gt;0.46875,INT($G$21)&amp;" 1/2""",IF((($G$21)-INT($G$21))&gt;0.40625,INT($G$21)&amp;" 7/16""",IF((($G$21)-INT($G$21))&gt;0.34375,INT($G$21)&amp;" 3/8""",IF((($G$21)-INT($G$21))&gt;0.28125,INT($G$21)&amp;" 5/16""",IF((($G$21)-INT($G$21))&gt;0.21875,INT($G$21)&amp;" 1/4""",IF((($G$21)-INT($G$21))&gt;0.15625,INT($G$21)&amp;" 3/16""",IF((($G$21)-INT($G$21))&gt;0.09375,INT($G$21)&amp;" 1/8""",IF((($G$21)-INT($G$21))&gt;0.03125,INT($G$21)&amp;" 1/16""",INT($G$21)&amp;""""))))))))))))))))</f>
        <v>50"</v>
      </c>
      <c r="H22" s="78"/>
      <c r="I22" s="45"/>
      <c r="J22" s="79"/>
      <c r="K22" s="56" t="str">
        <f>IF((($K$21)-INT($K$21))&gt;0.96875,INT($K$21)+1&amp;"""",IF((($K$21)-INT($K$21))&gt;0.90625,INT($K$21)&amp;" 15/16""",IF((($K$21)-INT($K$21))&gt;0.84375,INT($K$21)&amp;" 7/8""",IF((($K$21)-INT($K$21))&gt;0.78125,INT($K$21)&amp;" 13/16""",IF((($K$21)-INT($K$21))&gt;0.71875,INT($K$21)&amp;" 3/4""",IF((($K$21)-INT($K$21))&gt;0.65625,INT($K$21)&amp;" 11/16""",IF((($K$21)-INT($K$21))&gt;0.59375,INT($K$21)&amp;" 5/8""",IF((($K$21)-INT($K$21))&gt;0.53125,INT($K$21)&amp;" 9/16""",IF((($K$21)-INT($K$21))&gt;0.46875,INT($K$21)&amp;" 1/2""",IF((($K$21)-INT($K$21))&gt;0.40625,INT($K$21)&amp;" 7/16""",IF((($K$21)-INT($K$21))&gt;0.34375,INT($K$21)&amp;" 3/8""",IF((($K$21)-INT($K$21))&gt;0.28125,INT($K$21)&amp;" 5/16""",IF((($K$21)-INT($K$21))&gt;0.21875,INT($K$21)&amp;" 1/4""",IF((($K$21)-INT($K$21))&gt;0.15625,INT($K$21)&amp;" 3/16""",IF((($K$21)-INT($K$21))&gt;0.09375,INT($K$21)&amp;" 1/8""",IF((($K$21)-INT($K$21))&gt;0.03125,INT($K$21)&amp;" 1/16""",INT($K$21)&amp;""""))))))))))))))))</f>
        <v>50 7/16"</v>
      </c>
      <c r="L22" s="45"/>
      <c r="M22" s="56" t="str">
        <f>IF((($M$21)-INT($M$21))&gt;0.96875,INT($M$21)+1&amp;"""",IF((($M$21)-INT($M$21))&gt;0.90625,INT($M$21)&amp;" 15/16""",IF((($M$21)-INT($M$21))&gt;0.84375,INT($M$21)&amp;" 7/8""",IF((($M$21)-INT($M$21))&gt;0.78125,INT($M$21)&amp;" 13/16""",IF((($M$21)-INT($M$21))&gt;0.71875,INT($M$21)&amp;" 3/4""",IF((($M$21)-INT($M$21))&gt;0.65625,INT($M$21)&amp;" 11/16""",IF((($M$21)-INT($M$21))&gt;0.59375,INT($M$21)&amp;" 5/8""",IF((($M$21)-INT($M$21))&gt;0.53125,INT($M$21)&amp;" 9/16""",IF((($M$21)-INT($M$21))&gt;0.46875,INT($M$21)&amp;" 1/2""",IF((($M$21)-INT($M$21))&gt;0.40625,INT($M$21)&amp;" 7/16""",IF((($M$21)-INT($M$21))&gt;0.34375,INT($M$21)&amp;" 3/8""",IF((($M$21)-INT($M$21))&gt;0.28125,INT($M$21)&amp;" 5/16""",IF((($M$21)-INT($M$21))&gt;0.21875,INT($M$21)&amp;" 1/4""",IF((($M$21)-INT($M$21))&gt;0.15625,INT($M$21)&amp;" 3/16""",IF((($M$21)-INT($M$21))&gt;0.09375,INT($M$21)&amp;" 1/8""",IF((($M$21)-INT($M$21))&gt;0.03125,INT($M$21)&amp;" 1/16""",INT($M$21)&amp;""""))))))))))))))))</f>
        <v>47 7/16"</v>
      </c>
      <c r="N22" s="45"/>
      <c r="O22" s="56" t="str">
        <f>IF((($O$21)-INT($O$21))&gt;0.96875,INT($O$21)+1&amp;"""",IF((($O$21)-INT($O$21))&gt;0.90625,INT($O$21)&amp;" 15/16""",IF((($O$21)-INT($O$21))&gt;0.84375,INT($O$21)&amp;" 7/8""",IF((($O$21)-INT($O$21))&gt;0.78125,INT($O$21)&amp;" 13/16""",IF((($O$21)-INT($O$21))&gt;0.71875,INT($O$21)&amp;" 3/4""",IF((($O$21)-INT($O$21))&gt;0.65625,INT($O$21)&amp;" 11/16""",IF((($O$21)-INT($O$21))&gt;0.59375,INT($O$21)&amp;" 5/8""",IF((($O$21)-INT($O$21))&gt;0.53125,INT($O$21)&amp;" 9/16""",IF((($O$21)-INT($O$21))&gt;0.46875,INT($O$21)&amp;" 1/2""",IF((($O$21)-INT($O$21))&gt;0.40625,INT($O$21)&amp;" 7/16""",IF((($O$21)-INT($O$21))&gt;0.34375,INT($O$21)&amp;" 3/8""",IF((($O$21)-INT($O$21))&gt;0.28125,INT($O$21)&amp;" 5/16""",IF((($O$21)-INT($O$21))&gt;0.21875,INT($O$21)&amp;" 1/4""",IF((($O$21)-INT($O$21))&gt;0.15625,INT($O$21)&amp;" 3/16""",IF((($O$21)-INT($O$21))&gt;0.09375,INT($O$21)&amp;" 1/8""",IF((($O$21)-INT($O$21))&gt;0.03125,INT($O$21)&amp;" 1/16""",INT($O$21)&amp;""""))))))))))))))))</f>
        <v>44 7/16"</v>
      </c>
      <c r="P22" s="6"/>
      <c r="Q22" s="83"/>
      <c r="R22" s="5"/>
      <c r="S22" s="29"/>
      <c r="T22" s="1"/>
    </row>
    <row r="23" spans="2:20" ht="18" customHeight="1" x14ac:dyDescent="0.2">
      <c r="B23" s="1"/>
      <c r="C23" s="92"/>
      <c r="D23" s="28"/>
      <c r="E23" s="46"/>
      <c r="F23" s="47"/>
      <c r="G23" s="7"/>
      <c r="H23" s="7"/>
      <c r="I23" s="48"/>
      <c r="J23" s="49"/>
      <c r="K23" s="8"/>
      <c r="L23" s="48"/>
      <c r="M23" s="8"/>
      <c r="N23" s="48"/>
      <c r="O23" s="8"/>
      <c r="P23" s="8"/>
      <c r="Q23" s="9"/>
      <c r="R23" s="10"/>
      <c r="S23" s="2"/>
      <c r="T23" s="57"/>
    </row>
    <row r="24" spans="2:20" ht="25" customHeight="1" x14ac:dyDescent="0.2">
      <c r="B24" s="1"/>
      <c r="C24" s="92"/>
      <c r="D24" s="28"/>
      <c r="E24" s="2"/>
      <c r="F24" s="51"/>
      <c r="G24" s="11"/>
      <c r="H24" s="11"/>
      <c r="I24" s="2"/>
      <c r="J24" s="52"/>
      <c r="K24" s="12"/>
      <c r="L24" s="2"/>
      <c r="M24" s="12"/>
      <c r="N24" s="2"/>
      <c r="O24" s="12"/>
      <c r="P24" s="12"/>
      <c r="Q24" s="3"/>
      <c r="R24" s="3"/>
      <c r="S24" s="2"/>
      <c r="T24" s="57"/>
    </row>
    <row r="25" spans="2:20" ht="18" customHeight="1" thickBot="1" x14ac:dyDescent="0.3">
      <c r="B25" s="1"/>
      <c r="C25" s="92"/>
      <c r="D25" s="28"/>
      <c r="E25" s="38"/>
      <c r="F25" s="53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54"/>
      <c r="S25" s="2"/>
      <c r="T25" s="57"/>
    </row>
    <row r="26" spans="2:20" ht="30" customHeight="1" x14ac:dyDescent="0.2">
      <c r="B26" s="1"/>
      <c r="C26" s="92"/>
      <c r="D26" s="28"/>
      <c r="E26" s="43"/>
      <c r="F26" s="81" t="s">
        <v>1</v>
      </c>
      <c r="G26" s="23">
        <v>40</v>
      </c>
      <c r="H26" s="44" t="s">
        <v>21</v>
      </c>
      <c r="I26" s="45"/>
      <c r="J26" s="79"/>
      <c r="K26" s="14">
        <f>ControlLength+(ControlTwists*0.012)*(LengthVariable)</f>
        <v>40.361260000000001</v>
      </c>
      <c r="L26" s="45"/>
      <c r="M26" s="14">
        <f>_2PostControl-(PostWidth*0.5)</f>
        <v>37.361260000000001</v>
      </c>
      <c r="N26" s="45"/>
      <c r="O26" s="14">
        <f>_2PostControl-PostWidth</f>
        <v>34.361260000000001</v>
      </c>
      <c r="P26" s="4"/>
      <c r="Q26" s="82">
        <f>TwistRate*ControlLength</f>
        <v>30</v>
      </c>
      <c r="R26" s="5"/>
      <c r="S26" s="2"/>
      <c r="T26" s="50"/>
    </row>
    <row r="27" spans="2:20" ht="25" customHeight="1" thickBot="1" x14ac:dyDescent="0.25">
      <c r="B27" s="1"/>
      <c r="C27" s="92"/>
      <c r="D27" s="28"/>
      <c r="E27" s="43"/>
      <c r="F27" s="81"/>
      <c r="G27" s="77" t="str">
        <f>IF((($G$26)-INT($G$26))&gt;0.96875,INT($G$26)+1&amp;"""",IF((($G$26)-INT($G$26))&gt;0.90625,INT($G$26)&amp;" 15/16""",IF((($G$26)-INT($G$26))&gt;0.84375,INT($G$26)&amp;" 7/8""",IF((($G$26)-INT($G$26))&gt;0.78125,INT($G$26)&amp;" 13/16""",IF((($G$26)-INT($G$26))&gt;0.71875,INT($G$26)&amp;" 3/4""",IF((($G$26)-INT($G$26))&gt;0.65625,INT($G$26)&amp;" 11/16""",IF((($G$26)-INT($G$26))&gt;0.59375,INT($G$26)&amp;" 5/8""",IF((($G$26)-INT($G$26))&gt;0.53125,INT($G$26)&amp;" 9/16""",IF((($G$26)-INT($G$26))&gt;0.46875,INT($G$26)&amp;" 1/2""",IF((($G$26)-INT($G$26))&gt;0.40625,INT($G$26)&amp;" 7/16""",IF((($G$26)-INT($G$26))&gt;0.34375,INT($G$26)&amp;" 3/8""",IF((($G$26)-INT($G$26))&gt;0.28125,INT($G$26)&amp;" 5/16""",IF((($G$26)-INT($G$26))&gt;0.21875,INT($G$26)&amp;" 1/4""",IF((($G$26)-INT($G$26))&gt;0.15625,INT($G$26)&amp;" 3/16""",IF((($G$26)-INT($G$26))&gt;0.09375,INT($G$26)&amp;" 1/8""",IF((($G$26)-INT($G$26))&gt;0.03125,INT($G$26)&amp;" 1/16""",INT($G$26)&amp;""""))))))))))))))))</f>
        <v>40"</v>
      </c>
      <c r="H27" s="78"/>
      <c r="I27" s="45"/>
      <c r="J27" s="79"/>
      <c r="K27" s="58" t="str">
        <f>IF((($K$26)-INT($K$26))&gt;0.96875,INT($K$26)+1&amp;"""",IF((($K$26)-INT($K$26))&gt;0.90625,INT($K$26)&amp;" 15/16""",IF((($K$26)-INT($K$26))&gt;0.84375,INT($K$26)&amp;" 7/8""",IF((($K$26)-INT($K$26))&gt;0.78125,INT($K$26)&amp;" 13/16""",IF((($K$26)-INT($K$26))&gt;0.71875,INT($K$26)&amp;" 3/4""",IF((($K$26)-INT($K$26))&gt;0.65625,INT($K$26)&amp;" 11/16""",IF((($K$26)-INT($K$26))&gt;0.59375,INT($K$26)&amp;" 5/8""",IF((($K$26)-INT($K$26))&gt;0.53125,INT($K$26)&amp;" 9/16""",IF((($K$26)-INT($K$26))&gt;0.46875,INT($K$26)&amp;" 1/2""",IF((($K$26)-INT($K$26))&gt;0.40625,INT($K$26)&amp;" 7/16""",IF((($K$26)-INT($K$26))&gt;0.34375,INT($K$26)&amp;" 3/8""",IF((($K$26)-INT($K$26))&gt;0.28125,INT($K$26)&amp;" 5/16""",IF((($K$26)-INT($K$26))&gt;0.21875,INT($K$26)&amp;" 1/4""",IF((($K$26)-INT($K$26))&gt;0.15625,INT($K$26)&amp;" 3/16""",IF((($K$26)-INT($K$26))&gt;0.09375,INT($K$26)&amp;" 1/8""",IF((($K$26)-INT($K$26))&gt;0.03125,INT($K$26)&amp;" 1/16""",INT($K$26)&amp;""""))))))))))))))))</f>
        <v>40 3/8"</v>
      </c>
      <c r="L27" s="45"/>
      <c r="M27" s="58" t="str">
        <f>IF((($M$26)-INT($M$26))&gt;0.96875,INT($M$26)+1&amp;"""",IF((($M$26)-INT($M$26))&gt;0.90625,INT($M$26)&amp;" 15/16""",IF((($M$26)-INT($M$26))&gt;0.84375,INT($M$26)&amp;" 7/8""",IF((($M$26)-INT($M$26))&gt;0.78125,INT($M$26)&amp;" 13/16""",IF((($M$26)-INT($M$26))&gt;0.71875,INT($M$26)&amp;" 3/4""",IF((($M$26)-INT($M$26))&gt;0.65625,INT($M$26)&amp;" 11/16""",IF((($M$26)-INT($M$26))&gt;0.59375,INT($M$26)&amp;" 5/8""",IF((($M$26)-INT($M$26))&gt;0.53125,INT($M$26)&amp;" 9/16""",IF((($M$26)-INT($M$26))&gt;0.46875,INT($M$26)&amp;" 1/2""",IF((($M$26)-INT($M$26))&gt;0.40625,INT($M$26)&amp;" 7/16""",IF((($M$26)-INT($M$26))&gt;0.34375,INT($M$26)&amp;" 3/8""",IF((($M$26)-INT($M$26))&gt;0.28125,INT($M$26)&amp;" 5/16""",IF((($M$26)-INT($M$26))&gt;0.21875,INT($M$26)&amp;" 1/4""",IF((($M$26)-INT($M$26))&gt;0.15625,INT($M$26)&amp;" 3/16""",IF((($M$26)-INT($M$26))&gt;0.09375,INT($M$26)&amp;" 1/8""",IF((($M$26)-INT($M$26))&gt;0.03125,INT($M$26)&amp;" 1/16""",INT($M$26)&amp;""""))))))))))))))))</f>
        <v>37 3/8"</v>
      </c>
      <c r="N27" s="45"/>
      <c r="O27" s="58" t="str">
        <f>IF((($O$26)-INT($O$26))&gt;0.96875,INT($O$26)+1&amp;"""",IF((($O$26)-INT($O$26))&gt;0.90625,INT($O$26)&amp;" 15/16""",IF((($O$26)-INT($O$26))&gt;0.84375,INT($O$26)&amp;" 7/8""",IF((($O$26)-INT($O$26))&gt;0.78125,INT($O$26)&amp;" 13/16""",IF((($O$26)-INT($O$26))&gt;0.71875,INT($O$26)&amp;" 3/4""",IF((($O$26)-INT($O$26))&gt;0.65625,INT($O$26)&amp;" 11/16""",IF((($O$26)-INT($O$26))&gt;0.59375,INT($O$26)&amp;" 5/8""",IF((($O$26)-INT($O$26))&gt;0.53125,INT($O$26)&amp;" 9/16""",IF((($O$26)-INT($O$26))&gt;0.46875,INT($O$26)&amp;" 1/2""",IF((($O$26)-INT($O$26))&gt;0.40625,INT($O$26)&amp;" 7/16""",IF((($O$26)-INT($O$26))&gt;0.34375,INT($O$26)&amp;" 3/8""",IF((($O$26)-INT($O$26))&gt;0.28125,INT($O$26)&amp;" 5/16""",IF((($O$26)-INT($O$26))&gt;0.21875,INT($O$26)&amp;" 1/4""",IF((($O$26)-INT($O$26))&gt;0.15625,INT($O$26)&amp;" 3/16""",IF((($O$26)-INT($O$26))&gt;0.09375,INT($O$26)&amp;" 1/8""",IF((($O$26)-INT($O$26))&gt;0.03125,INT($O$26)&amp;" 1/16""",INT($O$26)&amp;""""))))))))))))))))</f>
        <v>34 3/8"</v>
      </c>
      <c r="P27" s="6"/>
      <c r="Q27" s="83"/>
      <c r="R27" s="5"/>
      <c r="S27" s="2"/>
      <c r="T27" s="50"/>
    </row>
    <row r="28" spans="2:20" ht="18" customHeight="1" x14ac:dyDescent="0.2">
      <c r="B28" s="1"/>
      <c r="C28" s="92"/>
      <c r="D28" s="28"/>
      <c r="E28" s="46"/>
      <c r="F28" s="47"/>
      <c r="G28" s="7"/>
      <c r="H28" s="7"/>
      <c r="I28" s="48"/>
      <c r="J28" s="49"/>
      <c r="K28" s="8"/>
      <c r="L28" s="48"/>
      <c r="M28" s="8"/>
      <c r="N28" s="48"/>
      <c r="O28" s="8"/>
      <c r="P28" s="8"/>
      <c r="Q28" s="9"/>
      <c r="R28" s="10"/>
      <c r="S28" s="2"/>
      <c r="T28" s="50"/>
    </row>
    <row r="29" spans="2:20" ht="25" customHeight="1" x14ac:dyDescent="0.2">
      <c r="B29" s="1"/>
      <c r="C29" s="92"/>
      <c r="D29" s="28"/>
      <c r="E29" s="2"/>
      <c r="F29" s="51"/>
      <c r="G29" s="11"/>
      <c r="H29" s="11"/>
      <c r="I29" s="2"/>
      <c r="J29" s="52"/>
      <c r="K29" s="12"/>
      <c r="L29" s="2"/>
      <c r="M29" s="12"/>
      <c r="N29" s="2"/>
      <c r="O29" s="12"/>
      <c r="P29" s="12"/>
      <c r="Q29" s="3"/>
      <c r="R29" s="3"/>
      <c r="S29" s="2"/>
      <c r="T29" s="50"/>
    </row>
    <row r="30" spans="2:20" ht="18" customHeight="1" thickBot="1" x14ac:dyDescent="0.3">
      <c r="B30" s="1"/>
      <c r="C30" s="92"/>
      <c r="D30" s="28"/>
      <c r="E30" s="38"/>
      <c r="F30" s="53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54"/>
      <c r="S30" s="2"/>
      <c r="T30" s="50"/>
    </row>
    <row r="31" spans="2:20" ht="30" customHeight="1" x14ac:dyDescent="0.2">
      <c r="B31" s="1"/>
      <c r="C31" s="92"/>
      <c r="D31" s="28"/>
      <c r="E31" s="43"/>
      <c r="F31" s="80" t="s">
        <v>20</v>
      </c>
      <c r="G31" s="23">
        <v>30</v>
      </c>
      <c r="H31" s="44" t="s">
        <v>21</v>
      </c>
      <c r="I31" s="45"/>
      <c r="J31" s="79"/>
      <c r="K31" s="14">
        <f>BussLength+(BussTwists*0.012)*(LengthVariable)</f>
        <v>30.270945000000001</v>
      </c>
      <c r="L31" s="45"/>
      <c r="M31" s="14">
        <f>_2PostBuss-(PostWidth*0.5)</f>
        <v>27.270945000000001</v>
      </c>
      <c r="N31" s="45"/>
      <c r="O31" s="14">
        <f>_2PostBuss-PostWidth</f>
        <v>24.270945000000001</v>
      </c>
      <c r="P31" s="4"/>
      <c r="Q31" s="82">
        <f>TwistRate*BussLength</f>
        <v>22.5</v>
      </c>
      <c r="R31" s="5"/>
      <c r="S31" s="2"/>
      <c r="T31" s="50"/>
    </row>
    <row r="32" spans="2:20" ht="25" customHeight="1" thickBot="1" x14ac:dyDescent="0.25">
      <c r="B32" s="1"/>
      <c r="C32" s="92"/>
      <c r="D32" s="28"/>
      <c r="E32" s="43"/>
      <c r="F32" s="80"/>
      <c r="G32" s="77" t="str">
        <f>IF((($G$31)-INT($G$31))&gt;0.96875,INT($G$31)+1&amp;"""",IF((($G$31)-INT($G$31))&gt;0.90625,INT($G$31)&amp;" 15/16""",IF((($G$31)-INT($G$31))&gt;0.84375,INT($G$31)&amp;" 7/8""",IF((($G$31)-INT($G$31))&gt;0.78125,INT($G$31)&amp;" 13/16""",IF((($G$31)-INT($G$31))&gt;0.71875,INT($G$31)&amp;" 3/4""",IF((($G$31)-INT($G$31))&gt;0.65625,INT($G$31)&amp;" 11/16""",IF((($G$31)-INT($G$31))&gt;0.59375,INT($G$31)&amp;" 5/8""",IF((($G$31)-INT($G$31))&gt;0.53125,INT($G$31)&amp;" 9/16""",IF((($G$31)-INT($G$31))&gt;0.46875,INT($G$31)&amp;" 1/2""",IF((($G$31)-INT($G$31))&gt;0.40625,INT($G$31)&amp;" 7/16""",IF((($G$31)-INT($G$31))&gt;0.34375,INT($G$31)&amp;" 3/8""",IF((($G$31)-INT($G$31))&gt;0.28125,INT($G$31)&amp;" 5/16""",IF((($G$31)-INT($G$31))&gt;0.21875,INT($G$31)&amp;" 1/4""",IF((($G$31)-INT($G$31))&gt;0.15625,INT($G$31)&amp;" 3/16""",IF((($G$31)-INT($G$31))&gt;0.09375,INT($G$31)&amp;" 1/8""",IF((($G$31)-INT($G$31))&gt;0.03125,INT($G$31)&amp;" 1/16""",INT($G$31)&amp;""""))))))))))))))))</f>
        <v>30"</v>
      </c>
      <c r="H32" s="78"/>
      <c r="I32" s="45"/>
      <c r="J32" s="79"/>
      <c r="K32" s="58" t="str">
        <f>IF((($K$31)-INT($K$31))&gt;0.96875,INT($K$31)+1&amp;"""",IF((($K$31)-INT($K$31))&gt;0.90625,INT($K$31)&amp;" 15/16""",IF((($K$31)-INT($K$31))&gt;0.84375,INT($K$31)&amp;" 7/8""",IF((($K$31)-INT($K$31))&gt;0.78125,INT($K$31)&amp;" 13/16""",IF((($K$31)-INT($K$31))&gt;0.71875,INT($K$31)&amp;" 3/4""",IF((($K$31)-INT($K$31))&gt;0.65625,INT($K$31)&amp;" 11/16""",IF((($K$31)-INT($K$31))&gt;0.59375,INT($K$31)&amp;" 5/8""",IF((($K$31)-INT($K$31))&gt;0.53125,INT($K$31)&amp;" 9/16""",IF((($K$31)-INT($K$31))&gt;0.46875,INT($K$31)&amp;" 1/2""",IF((($K$31)-INT($K$31))&gt;0.40625,INT($K$31)&amp;" 7/16""",IF((($K$31)-INT($K$31))&gt;0.34375,INT($K$31)&amp;" 3/8""",IF((($K$31)-INT($K$31))&gt;0.28125,INT($K$31)&amp;" 5/16""",IF((($K$31)-INT($K$31))&gt;0.21875,INT($K$31)&amp;" 1/4""",IF((($K$31)-INT($K$31))&gt;0.15625,INT($K$31)&amp;" 3/16""",IF((($K$31)-INT($K$31))&gt;0.09375,INT($K$31)&amp;" 1/8""",IF((($K$31)-INT($K$31))&gt;0.03125,INT($K$31)&amp;" 1/16""",INT($K$31)&amp;""""))))))))))))))))</f>
        <v>30 1/4"</v>
      </c>
      <c r="L32" s="45"/>
      <c r="M32" s="58" t="str">
        <f>IF((($M$31)-INT($M$31))&gt;0.96875,INT($M$31)+1&amp;"""",IF((($M$31)-INT($M$31))&gt;0.90625,INT($M$31)&amp;" 15/16""",IF((($M$31)-INT($M$31))&gt;0.84375,INT($M$31)&amp;" 7/8""",IF((($M$31)-INT($M$31))&gt;0.78125,INT($M$31)&amp;" 13/16""",IF((($M$31)-INT($M$31))&gt;0.71875,INT($M$31)&amp;" 3/4""",IF((($M$31)-INT($M$31))&gt;0.65625,INT($M$31)&amp;" 11/16""",IF((($M$31)-INT($M$31))&gt;0.59375,INT($M$31)&amp;" 5/8""",IF((($M$31)-INT($M$31))&gt;0.53125,INT($M$31)&amp;" 9/16""",IF((($M$31)-INT($M$31))&gt;0.46875,INT($M$31)&amp;" 1/2""",IF((($M$31)-INT($M$31))&gt;0.40625,INT($M$31)&amp;" 7/16""",IF((($M$31)-INT($M$31))&gt;0.34375,INT($M$31)&amp;" 3/8""",IF((($M$31)-INT($M$31))&gt;0.28125,INT($M$31)&amp;" 5/16""",IF((($M$31)-INT($M$31))&gt;0.21875,INT($M$31)&amp;" 1/4""",IF((($M$31)-INT($M$31))&gt;0.15625,INT($M$31)&amp;" 3/16""",IF((($M$31)-INT($M$31))&gt;0.09375,INT($M$31)&amp;" 1/8""",IF((($M$31)-INT($M$31))&gt;0.03125,INT($M$31)&amp;" 1/16""",INT($M$31)&amp;""""))))))))))))))))</f>
        <v>27 1/4"</v>
      </c>
      <c r="N32" s="45"/>
      <c r="O32" s="58" t="str">
        <f>IF((($O$31)-INT($O$31))&gt;0.96875,INT($O$31)+1&amp;"""",IF((($O$31)-INT($O$31))&gt;0.90625,INT($O$31)&amp;" 15/16""",IF((($O$31)-INT($O$31))&gt;0.84375,INT($O$31)&amp;" 7/8""",IF((($O$31)-INT($O$31))&gt;0.78125,INT($O$31)&amp;" 13/16""",IF((($O$31)-INT($O$31))&gt;0.71875,INT($O$31)&amp;" 3/4""",IF((($O$31)-INT($O$31))&gt;0.65625,INT($O$31)&amp;" 11/16""",IF((($O$31)-INT($O$31))&gt;0.59375,INT($O$31)&amp;" 5/8""",IF((($O$31)-INT($O$31))&gt;0.53125,INT($O$31)&amp;" 9/16""",IF((($O$31)-INT($O$31))&gt;0.46875,INT($O$31)&amp;" 1/2""",IF((($O$31)-INT($O$31))&gt;0.40625,INT($O$31)&amp;" 7/16""",IF((($O$31)-INT($O$31))&gt;0.34375,INT($O$31)&amp;" 3/8""",IF((($O$31)-INT($O$31))&gt;0.28125,INT($O$31)&amp;" 5/16""",IF((($O$31)-INT($O$31))&gt;0.21875,INT($O$31)&amp;" 1/4""",IF((($O$31)-INT($O$31))&gt;0.15625,INT($O$31)&amp;" 3/16""",IF((($O$31)-INT($O$31))&gt;0.09375,INT($O$31)&amp;" 1/8""",IF((($O$31)-INT($O$31))&gt;0.03125,INT($O$31)&amp;" 1/16""",INT($O$31)&amp;""""))))))))))))))))</f>
        <v>24 1/4"</v>
      </c>
      <c r="P32" s="6"/>
      <c r="Q32" s="83"/>
      <c r="R32" s="5"/>
      <c r="S32" s="2"/>
      <c r="T32" s="50"/>
    </row>
    <row r="33" spans="2:20" ht="18" customHeight="1" x14ac:dyDescent="0.2">
      <c r="B33" s="1"/>
      <c r="C33" s="92"/>
      <c r="D33" s="28"/>
      <c r="E33" s="46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55"/>
      <c r="S33" s="2"/>
      <c r="T33" s="50"/>
    </row>
    <row r="34" spans="2:20" ht="18" customHeight="1" x14ac:dyDescent="0.2">
      <c r="B34" s="1"/>
      <c r="C34" s="92"/>
      <c r="D34" s="28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50"/>
    </row>
    <row r="35" spans="2:20" ht="18" customHeight="1" thickBot="1" x14ac:dyDescent="0.25">
      <c r="B35" s="1"/>
      <c r="C35" s="92"/>
      <c r="D35" s="28"/>
      <c r="E35" s="38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54"/>
      <c r="S35" s="2"/>
      <c r="T35" s="50"/>
    </row>
    <row r="36" spans="2:20" ht="30" customHeight="1" x14ac:dyDescent="0.2">
      <c r="B36" s="1"/>
      <c r="C36" s="92"/>
      <c r="D36" s="28"/>
      <c r="E36" s="43"/>
      <c r="F36" s="80" t="s">
        <v>45</v>
      </c>
      <c r="G36" s="23">
        <v>20</v>
      </c>
      <c r="H36" s="44" t="s">
        <v>21</v>
      </c>
      <c r="I36" s="45"/>
      <c r="J36" s="45"/>
      <c r="K36" s="13">
        <f>YokeLength+(YokeTwists*0.012)*LengthVariable</f>
        <v>20.180630000000001</v>
      </c>
      <c r="L36" s="45"/>
      <c r="M36" s="13">
        <f>_2PostYoke-(PostWidth*0.5)</f>
        <v>17.180630000000001</v>
      </c>
      <c r="N36" s="45"/>
      <c r="O36" s="13">
        <f>_2PostYoke-PostWidth</f>
        <v>14.180630000000001</v>
      </c>
      <c r="P36" s="45"/>
      <c r="Q36" s="82">
        <f>TwistRate*YokeLength</f>
        <v>15</v>
      </c>
      <c r="R36" s="59"/>
      <c r="S36" s="2"/>
      <c r="T36" s="50"/>
    </row>
    <row r="37" spans="2:20" ht="25" customHeight="1" thickBot="1" x14ac:dyDescent="0.25">
      <c r="B37" s="1"/>
      <c r="C37" s="92"/>
      <c r="D37" s="28"/>
      <c r="E37" s="43"/>
      <c r="F37" s="80"/>
      <c r="G37" s="84" t="str">
        <f>IF((($G$36)-INT($G$36))&gt;0.96875,INT($G$36)+1&amp;"""",IF((($G$36)-INT($G$36))&gt;0.90625,INT($G$36)&amp;" 15/16""",IF((($G$36)-INT($G$36))&gt;0.84375,INT($G$36)&amp;" 7/8""",IF((($G$36)-INT($G$36))&gt;0.78125,INT($G$36)&amp;" 13/16""",IF((($G$36)-INT($G$36))&gt;0.71875,INT($G$36)&amp;" 3/4""",IF((($G$36)-INT($G$36))&gt;0.65625,INT($G$36)&amp;" 11/16""",IF((($G$36)-INT($G$36))&gt;0.59375,INT($G$36)&amp;" 5/8""",IF((($G$36)-INT($G$36))&gt;0.53125,INT($G$36)&amp;" 9/16""",IF((($G$36)-INT($G$36))&gt;0.46875,INT($G$36)&amp;" 1/2""",IF((($G$36)-INT($G$36))&gt;0.40625,INT($G$36)&amp;" 7/16""",IF((($G$36)-INT($G$36))&gt;0.34375,INT($G$36)&amp;" 3/8""",IF((($G$36)-INT($G$36))&gt;0.28125,INT($G$36)&amp;" 5/16""",IF((($G$36)-INT($G$36))&gt;0.21875,INT($G$36)&amp;" 1/4""",IF((($G$36)-INT($G$36))&gt;0.15625,INT($G$36)&amp;" 3/16""",IF((($G$36)-INT($G$36))&gt;0.09375,INT($G$36)&amp;" 1/8""",IF((($G$36)-INT($G$36))&gt;0.03125,INT($G$36)&amp;" 1/16""",INT($G$36)&amp;""""))))))))))))))))</f>
        <v>20"</v>
      </c>
      <c r="H37" s="85"/>
      <c r="I37" s="45"/>
      <c r="J37" s="45"/>
      <c r="K37" s="56" t="str">
        <f>IF((($K$36)-INT($K$36))&gt;0.96875,INT($K$36)+1&amp;"""",IF((($K$36)-INT($K$36))&gt;0.90625,INT($K$36)&amp;" 15/16""",IF((($K$36)-INT($K$36))&gt;0.84375,INT($K$36)&amp;" 7/8""",IF((($K$36)-INT($K$36))&gt;0.78125,INT($K$36)&amp;" 13/16""",IF((($K$36)-INT($K$36))&gt;0.71875,INT($K$36)&amp;" 3/4""",IF((($K$36)-INT($K$36))&gt;0.65625,INT($K$36)&amp;" 11/16""",IF((($K$36)-INT($K$36))&gt;0.59375,INT($K$36)&amp;" 5/8""",IF((($K$36)-INT($K$36))&gt;0.53125,INT($K$36)&amp;" 9/16""",IF((($K$36)-INT($K$36))&gt;0.46875,INT($K$36)&amp;" 1/2""",IF((($K$36)-INT($K$36))&gt;0.40625,INT($K$36)&amp;" 7/16""",IF((($K$36)-INT($K$36))&gt;0.34375,INT($K$36)&amp;" 3/8""",IF((($K$36)-INT($K$36))&gt;0.28125,INT($K$36)&amp;" 5/16""",IF((($K$36)-INT($K$36))&gt;0.21875,INT($K$36)&amp;" 1/4""",IF((($K$36)-INT($K$36))&gt;0.15625,INT($K$36)&amp;" 3/16""",IF((($K$36)-INT($K$36))&gt;0.09375,INT($K$36)&amp;" 1/8""",IF((($K$36)-INT($K$36))&gt;0.03125,INT($K$36)&amp;" 1/16""",INT($K$36)&amp;""""))))))))))))))))</f>
        <v>20 3/16"</v>
      </c>
      <c r="L37" s="60"/>
      <c r="M37" s="56" t="str">
        <f>IF((($M$36)-INT($M$36))&gt;0.96875,INT($M$36)+1&amp;"""",IF((($M$36)-INT($M$36))&gt;0.90625,INT($M$36)&amp;" 15/16""",IF((($M$36)-INT($M$36))&gt;0.84375,INT($M$36)&amp;" 7/8""",IF((($M$36)-INT($M$36))&gt;0.78125,INT($M$36)&amp;" 13/16""",IF((($M$36)-INT($M$36))&gt;0.71875,INT($M$36)&amp;" 3/4""",IF((($M$36)-INT($M$36))&gt;0.65625,INT($M$36)&amp;" 11/16""",IF((($M$36)-INT($M$36))&gt;0.59375,INT($M$36)&amp;" 5/8""",IF((($M$36)-INT($M$36))&gt;0.53125,INT($M$36)&amp;" 9/16""",IF((($M$36)-INT($M$36))&gt;0.46875,INT($M$36)&amp;" 1/2""",IF((($M$36)-INT($M$36))&gt;0.40625,INT($M$36)&amp;" 7/16""",IF((($M$36)-INT($M$36))&gt;0.34375,INT($M$36)&amp;" 3/8""",IF((($M$36)-INT($M$36))&gt;0.28125,INT($M$36)&amp;" 5/16""",IF((($M$36)-INT($M$36))&gt;0.21875,INT($M$36)&amp;" 1/4""",IF((($M$36)-INT($M$36))&gt;0.15625,INT($M$36)&amp;" 3/16""",IF((($M$36)-INT($M$36))&gt;0.09375,INT($M$36)&amp;" 1/8""",IF((($M$36)-INT($M$36))&gt;0.03125,INT($M$36)&amp;" 1/16""",INT($M$36)&amp;""""))))))))))))))))</f>
        <v>17 3/16"</v>
      </c>
      <c r="N37" s="60"/>
      <c r="O37" s="56" t="str">
        <f>IF((($O$36)-INT($O$36))&gt;0.96875,INT($O$36)+1&amp;"""",IF((($O$36)-INT($O$36))&gt;0.90625,INT($O$36)&amp;" 15/16""",IF((($O$36)-INT($O$36))&gt;0.84375,INT($O$36)&amp;" 7/8""",IF((($O$36)-INT($O$36))&gt;0.78125,INT($O$36)&amp;" 13/16""",IF((($O$36)-INT($O$36))&gt;0.71875,INT($O$36)&amp;" 3/4""",IF((($O$36)-INT($O$36))&gt;0.65625,INT($O$36)&amp;" 11/16""",IF((($O$36)-INT($O$36))&gt;0.59375,INT($O$36)&amp;" 5/8""",IF((($O$36)-INT($O$36))&gt;0.53125,INT($O$36)&amp;" 9/16""",IF((($O$36)-INT($O$36))&gt;0.46875,INT($O$36)&amp;" 1/2""",IF((($O$36)-INT($O$36))&gt;0.40625,INT($O$36)&amp;" 7/16""",IF((($O$36)-INT($O$36))&gt;0.34375,INT($O$36)&amp;" 3/8""",IF((($O$36)-INT($O$36))&gt;0.28125,INT($O$36)&amp;" 5/16""",IF((($O$36)-INT($O$36))&gt;0.21875,INT($O$36)&amp;" 1/4""",IF((($O$36)-INT($O$36))&gt;0.15625,INT($O$36)&amp;" 3/16""",IF((($O$36)-INT($O$36))&gt;0.09375,INT($O$36)&amp;" 1/8""",IF((($O$36)-INT($O$36))&gt;0.03125,INT($O$36)&amp;" 1/16""",INT($O$36)&amp;""""))))))))))))))))</f>
        <v>14 3/16"</v>
      </c>
      <c r="P37" s="45"/>
      <c r="Q37" s="83"/>
      <c r="R37" s="59"/>
      <c r="S37" s="2"/>
      <c r="T37" s="50"/>
    </row>
    <row r="38" spans="2:20" ht="18" customHeight="1" x14ac:dyDescent="0.2">
      <c r="B38" s="1"/>
      <c r="C38" s="92"/>
      <c r="D38" s="28"/>
      <c r="E38" s="46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55"/>
      <c r="S38" s="2"/>
      <c r="T38" s="50"/>
    </row>
    <row r="39" spans="2:20" ht="16" thickBot="1" x14ac:dyDescent="0.25">
      <c r="B39" s="1"/>
      <c r="C39" s="92"/>
      <c r="D39" s="33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50"/>
    </row>
    <row r="40" spans="2:20" x14ac:dyDescent="0.2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2:20" ht="16" thickBot="1" x14ac:dyDescent="0.25">
      <c r="B41" s="1"/>
      <c r="C41" s="1"/>
      <c r="D41" s="1"/>
      <c r="E41" s="1"/>
      <c r="F41" s="70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2:20" s="1" customFormat="1" ht="14" customHeight="1" x14ac:dyDescent="0.2">
      <c r="C42" s="74"/>
      <c r="D42" s="61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3"/>
    </row>
    <row r="43" spans="2:20" s="1" customFormat="1" ht="24" customHeight="1" x14ac:dyDescent="0.3">
      <c r="C43" s="74"/>
      <c r="D43" s="64"/>
      <c r="E43" s="73" t="s">
        <v>49</v>
      </c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65"/>
    </row>
    <row r="44" spans="2:20" s="1" customFormat="1" ht="6" customHeight="1" x14ac:dyDescent="0.2">
      <c r="C44" s="74"/>
      <c r="D44" s="64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5"/>
    </row>
    <row r="45" spans="2:20" s="1" customFormat="1" x14ac:dyDescent="0.2">
      <c r="C45" s="74"/>
      <c r="D45" s="64"/>
      <c r="E45" s="88" t="s">
        <v>37</v>
      </c>
      <c r="F45" s="88"/>
      <c r="G45" s="89" t="s">
        <v>40</v>
      </c>
      <c r="H45" s="89"/>
      <c r="I45" s="72"/>
      <c r="J45" s="72"/>
      <c r="K45" s="71" t="s">
        <v>6</v>
      </c>
      <c r="L45" s="72"/>
      <c r="M45" s="71" t="s">
        <v>9</v>
      </c>
      <c r="N45" s="72"/>
      <c r="O45" s="71" t="s">
        <v>12</v>
      </c>
      <c r="P45" s="66"/>
      <c r="Q45" s="66"/>
      <c r="R45" s="66"/>
      <c r="S45" s="65"/>
    </row>
    <row r="46" spans="2:20" s="1" customFormat="1" x14ac:dyDescent="0.2">
      <c r="C46" s="74"/>
      <c r="D46" s="64"/>
      <c r="E46" s="88" t="s">
        <v>38</v>
      </c>
      <c r="F46" s="88"/>
      <c r="G46" s="89" t="s">
        <v>41</v>
      </c>
      <c r="H46" s="89"/>
      <c r="I46" s="72"/>
      <c r="J46" s="72"/>
      <c r="K46" s="71" t="s">
        <v>29</v>
      </c>
      <c r="L46" s="72"/>
      <c r="M46" s="71" t="s">
        <v>10</v>
      </c>
      <c r="N46" s="72"/>
      <c r="O46" s="71" t="s">
        <v>30</v>
      </c>
      <c r="P46" s="66"/>
      <c r="Q46" s="66"/>
      <c r="R46" s="66"/>
      <c r="S46" s="65"/>
    </row>
    <row r="47" spans="2:20" s="1" customFormat="1" x14ac:dyDescent="0.2">
      <c r="C47" s="74"/>
      <c r="D47" s="64"/>
      <c r="E47" s="88" t="s">
        <v>2</v>
      </c>
      <c r="F47" s="88"/>
      <c r="G47" s="89" t="s">
        <v>42</v>
      </c>
      <c r="H47" s="89"/>
      <c r="I47" s="72"/>
      <c r="J47" s="72"/>
      <c r="K47" s="71" t="s">
        <v>7</v>
      </c>
      <c r="L47" s="72"/>
      <c r="M47" s="71" t="s">
        <v>11</v>
      </c>
      <c r="N47" s="72"/>
      <c r="O47" s="71" t="s">
        <v>13</v>
      </c>
      <c r="P47" s="66"/>
      <c r="Q47" s="66"/>
      <c r="R47" s="66"/>
      <c r="S47" s="65"/>
    </row>
    <row r="48" spans="2:20" s="1" customFormat="1" x14ac:dyDescent="0.2">
      <c r="C48" s="74"/>
      <c r="D48" s="64"/>
      <c r="E48" s="88" t="s">
        <v>3</v>
      </c>
      <c r="F48" s="88"/>
      <c r="G48" s="89" t="s">
        <v>28</v>
      </c>
      <c r="H48" s="89"/>
      <c r="I48" s="72"/>
      <c r="J48" s="72"/>
      <c r="K48" s="71" t="s">
        <v>35</v>
      </c>
      <c r="L48" s="72"/>
      <c r="M48" s="71" t="s">
        <v>32</v>
      </c>
      <c r="N48" s="72"/>
      <c r="O48" s="71" t="s">
        <v>14</v>
      </c>
      <c r="P48" s="66"/>
      <c r="Q48" s="66"/>
      <c r="R48" s="66"/>
      <c r="S48" s="65"/>
    </row>
    <row r="49" spans="3:19" s="1" customFormat="1" x14ac:dyDescent="0.2">
      <c r="C49" s="74"/>
      <c r="D49" s="64"/>
      <c r="E49" s="88" t="s">
        <v>4</v>
      </c>
      <c r="F49" s="88"/>
      <c r="G49" s="89" t="s">
        <v>5</v>
      </c>
      <c r="H49" s="89"/>
      <c r="I49" s="72"/>
      <c r="J49" s="72"/>
      <c r="K49" s="71" t="s">
        <v>8</v>
      </c>
      <c r="L49" s="72"/>
      <c r="M49" s="71" t="s">
        <v>33</v>
      </c>
      <c r="N49" s="72"/>
      <c r="O49" s="71" t="s">
        <v>15</v>
      </c>
      <c r="P49" s="66"/>
      <c r="Q49" s="66"/>
      <c r="R49" s="66"/>
      <c r="S49" s="65"/>
    </row>
    <row r="50" spans="3:19" s="1" customFormat="1" x14ac:dyDescent="0.2">
      <c r="C50" s="74"/>
      <c r="D50" s="64"/>
      <c r="E50" s="88" t="s">
        <v>39</v>
      </c>
      <c r="F50" s="88"/>
      <c r="G50" s="89" t="s">
        <v>43</v>
      </c>
      <c r="H50" s="89"/>
      <c r="I50" s="72"/>
      <c r="J50" s="72"/>
      <c r="K50" s="71" t="s">
        <v>36</v>
      </c>
      <c r="L50" s="72"/>
      <c r="M50" s="71" t="s">
        <v>34</v>
      </c>
      <c r="N50" s="72"/>
      <c r="O50" s="71" t="s">
        <v>31</v>
      </c>
      <c r="P50" s="66"/>
      <c r="Q50" s="66"/>
      <c r="R50" s="66"/>
      <c r="S50" s="65"/>
    </row>
    <row r="51" spans="3:19" s="1" customFormat="1" ht="16" thickBot="1" x14ac:dyDescent="0.25">
      <c r="C51" s="74"/>
      <c r="D51" s="67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9"/>
    </row>
    <row r="52" spans="3:19" s="1" customFormat="1" ht="30" customHeight="1" thickBot="1" x14ac:dyDescent="0.25"/>
    <row r="53" spans="3:19" s="1" customFormat="1" x14ac:dyDescent="0.2">
      <c r="D53" s="15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</row>
    <row r="54" spans="3:19" s="1" customFormat="1" x14ac:dyDescent="0.2">
      <c r="D54" s="18"/>
      <c r="E54" s="87" t="s">
        <v>27</v>
      </c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19"/>
    </row>
    <row r="55" spans="3:19" s="1" customFormat="1" x14ac:dyDescent="0.2">
      <c r="D55" s="18"/>
      <c r="E55" s="86" t="s">
        <v>44</v>
      </c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19"/>
    </row>
    <row r="56" spans="3:19" s="1" customFormat="1" ht="16" thickBot="1" x14ac:dyDescent="0.25">
      <c r="D56" s="20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2"/>
    </row>
    <row r="57" spans="3:19" s="1" customFormat="1" x14ac:dyDescent="0.2"/>
    <row r="58" spans="3:19" s="1" customFormat="1" x14ac:dyDescent="0.2"/>
    <row r="59" spans="3:19" s="1" customFormat="1" x14ac:dyDescent="0.2"/>
    <row r="60" spans="3:19" s="1" customFormat="1" x14ac:dyDescent="0.2"/>
    <row r="61" spans="3:19" s="1" customFormat="1" x14ac:dyDescent="0.2"/>
    <row r="62" spans="3:19" s="1" customFormat="1" x14ac:dyDescent="0.2"/>
    <row r="63" spans="3:19" s="1" customFormat="1" x14ac:dyDescent="0.2"/>
    <row r="64" spans="3:19" s="1" customFormat="1" x14ac:dyDescent="0.2"/>
    <row r="65" s="1" customFormat="1" x14ac:dyDescent="0.2"/>
    <row r="66" s="1" customFormat="1" x14ac:dyDescent="0.2"/>
    <row r="67" s="1" customFormat="1" x14ac:dyDescent="0.2"/>
    <row r="68" s="1" customFormat="1" x14ac:dyDescent="0.2"/>
    <row r="69" s="1" customFormat="1" x14ac:dyDescent="0.2"/>
    <row r="70" s="1" customFormat="1" x14ac:dyDescent="0.2"/>
    <row r="71" s="1" customFormat="1" x14ac:dyDescent="0.2"/>
    <row r="72" s="1" customFormat="1" x14ac:dyDescent="0.2"/>
    <row r="73" s="1" customFormat="1" x14ac:dyDescent="0.2"/>
    <row r="74" s="1" customFormat="1" x14ac:dyDescent="0.2"/>
    <row r="75" s="1" customFormat="1" x14ac:dyDescent="0.2"/>
    <row r="76" s="1" customFormat="1" x14ac:dyDescent="0.2"/>
    <row r="77" s="1" customFormat="1" x14ac:dyDescent="0.2"/>
    <row r="78" s="1" customFormat="1" x14ac:dyDescent="0.2"/>
    <row r="79" s="1" customFormat="1" x14ac:dyDescent="0.2"/>
    <row r="80" s="1" customFormat="1" x14ac:dyDescent="0.2"/>
    <row r="81" s="1" customFormat="1" x14ac:dyDescent="0.2"/>
    <row r="82" s="1" customFormat="1" x14ac:dyDescent="0.2"/>
    <row r="83" s="1" customFormat="1" x14ac:dyDescent="0.2"/>
    <row r="84" s="1" customFormat="1" x14ac:dyDescent="0.2"/>
    <row r="85" s="1" customFormat="1" x14ac:dyDescent="0.2"/>
    <row r="86" s="1" customFormat="1" x14ac:dyDescent="0.2"/>
    <row r="87" s="1" customFormat="1" x14ac:dyDescent="0.2"/>
    <row r="88" s="1" customFormat="1" x14ac:dyDescent="0.2"/>
    <row r="89" s="1" customFormat="1" x14ac:dyDescent="0.2"/>
    <row r="90" s="1" customFormat="1" x14ac:dyDescent="0.2"/>
    <row r="91" s="1" customFormat="1" x14ac:dyDescent="0.2"/>
    <row r="92" s="1" customFormat="1" x14ac:dyDescent="0.2"/>
    <row r="93" s="1" customFormat="1" x14ac:dyDescent="0.2"/>
    <row r="94" s="1" customFormat="1" x14ac:dyDescent="0.2"/>
    <row r="95" s="1" customFormat="1" x14ac:dyDescent="0.2"/>
    <row r="96" s="1" customFormat="1" x14ac:dyDescent="0.2"/>
    <row r="97" s="1" customFormat="1" x14ac:dyDescent="0.2"/>
    <row r="98" s="1" customFormat="1" x14ac:dyDescent="0.2"/>
    <row r="99" s="1" customFormat="1" x14ac:dyDescent="0.2"/>
    <row r="100" s="1" customFormat="1" x14ac:dyDescent="0.2"/>
    <row r="101" s="1" customFormat="1" x14ac:dyDescent="0.2"/>
    <row r="102" s="1" customFormat="1" x14ac:dyDescent="0.2"/>
    <row r="103" s="1" customFormat="1" x14ac:dyDescent="0.2"/>
    <row r="104" s="1" customFormat="1" x14ac:dyDescent="0.2"/>
    <row r="105" s="1" customFormat="1" x14ac:dyDescent="0.2"/>
    <row r="106" s="1" customFormat="1" x14ac:dyDescent="0.2"/>
    <row r="107" s="1" customFormat="1" x14ac:dyDescent="0.2"/>
    <row r="108" s="1" customFormat="1" x14ac:dyDescent="0.2"/>
    <row r="109" s="1" customFormat="1" x14ac:dyDescent="0.2"/>
    <row r="110" s="1" customFormat="1" x14ac:dyDescent="0.2"/>
    <row r="111" s="1" customFormat="1" x14ac:dyDescent="0.2"/>
    <row r="112" s="1" customFormat="1" x14ac:dyDescent="0.2"/>
    <row r="113" s="1" customFormat="1" x14ac:dyDescent="0.2"/>
    <row r="114" s="1" customFormat="1" x14ac:dyDescent="0.2"/>
    <row r="115" s="1" customFormat="1" x14ac:dyDescent="0.2"/>
    <row r="116" s="1" customFormat="1" x14ac:dyDescent="0.2"/>
    <row r="117" s="1" customFormat="1" x14ac:dyDescent="0.2"/>
    <row r="118" s="1" customFormat="1" x14ac:dyDescent="0.2"/>
    <row r="119" s="1" customFormat="1" x14ac:dyDescent="0.2"/>
    <row r="120" s="1" customFormat="1" x14ac:dyDescent="0.2"/>
    <row r="121" s="1" customFormat="1" x14ac:dyDescent="0.2"/>
    <row r="122" s="1" customFormat="1" x14ac:dyDescent="0.2"/>
    <row r="123" s="1" customFormat="1" x14ac:dyDescent="0.2"/>
    <row r="124" s="1" customFormat="1" x14ac:dyDescent="0.2"/>
    <row r="125" s="1" customFormat="1" x14ac:dyDescent="0.2"/>
    <row r="126" s="1" customFormat="1" x14ac:dyDescent="0.2"/>
    <row r="127" s="1" customFormat="1" x14ac:dyDescent="0.2"/>
    <row r="128" s="1" customFormat="1" x14ac:dyDescent="0.2"/>
    <row r="129" s="1" customFormat="1" x14ac:dyDescent="0.2"/>
    <row r="130" s="1" customFormat="1" x14ac:dyDescent="0.2"/>
    <row r="131" s="1" customFormat="1" x14ac:dyDescent="0.2"/>
    <row r="132" s="1" customFormat="1" x14ac:dyDescent="0.2"/>
    <row r="133" s="1" customFormat="1" x14ac:dyDescent="0.2"/>
    <row r="134" s="1" customFormat="1" x14ac:dyDescent="0.2"/>
    <row r="135" s="1" customFormat="1" x14ac:dyDescent="0.2"/>
    <row r="136" s="1" customFormat="1" x14ac:dyDescent="0.2"/>
    <row r="137" s="1" customFormat="1" x14ac:dyDescent="0.2"/>
    <row r="138" s="1" customFormat="1" x14ac:dyDescent="0.2"/>
    <row r="139" s="1" customFormat="1" x14ac:dyDescent="0.2"/>
    <row r="140" s="1" customFormat="1" x14ac:dyDescent="0.2"/>
    <row r="141" s="1" customFormat="1" x14ac:dyDescent="0.2"/>
    <row r="142" s="1" customFormat="1" x14ac:dyDescent="0.2"/>
    <row r="143" s="1" customFormat="1" x14ac:dyDescent="0.2"/>
    <row r="144" s="1" customFormat="1" x14ac:dyDescent="0.2"/>
    <row r="145" s="1" customFormat="1" x14ac:dyDescent="0.2"/>
    <row r="146" s="1" customFormat="1" x14ac:dyDescent="0.2"/>
    <row r="147" s="1" customFormat="1" x14ac:dyDescent="0.2"/>
    <row r="148" s="1" customFormat="1" x14ac:dyDescent="0.2"/>
    <row r="149" s="1" customFormat="1" x14ac:dyDescent="0.2"/>
    <row r="150" s="1" customFormat="1" x14ac:dyDescent="0.2"/>
    <row r="151" s="1" customFormat="1" x14ac:dyDescent="0.2"/>
    <row r="152" s="1" customFormat="1" x14ac:dyDescent="0.2"/>
    <row r="153" s="1" customFormat="1" x14ac:dyDescent="0.2"/>
    <row r="154" s="1" customFormat="1" x14ac:dyDescent="0.2"/>
    <row r="155" s="1" customFormat="1" x14ac:dyDescent="0.2"/>
    <row r="156" s="1" customFormat="1" x14ac:dyDescent="0.2"/>
    <row r="157" s="1" customFormat="1" x14ac:dyDescent="0.2"/>
    <row r="158" s="1" customFormat="1" x14ac:dyDescent="0.2"/>
    <row r="159" s="1" customFormat="1" x14ac:dyDescent="0.2"/>
    <row r="160" s="1" customFormat="1" x14ac:dyDescent="0.2"/>
    <row r="161" s="1" customFormat="1" x14ac:dyDescent="0.2"/>
    <row r="162" s="1" customFormat="1" x14ac:dyDescent="0.2"/>
    <row r="163" s="1" customFormat="1" x14ac:dyDescent="0.2"/>
    <row r="164" s="1" customFormat="1" x14ac:dyDescent="0.2"/>
    <row r="165" s="1" customFormat="1" x14ac:dyDescent="0.2"/>
    <row r="166" s="1" customFormat="1" x14ac:dyDescent="0.2"/>
    <row r="167" s="1" customFormat="1" x14ac:dyDescent="0.2"/>
    <row r="168" s="1" customFormat="1" x14ac:dyDescent="0.2"/>
    <row r="169" s="1" customFormat="1" x14ac:dyDescent="0.2"/>
    <row r="170" s="1" customFormat="1" x14ac:dyDescent="0.2"/>
    <row r="171" s="1" customFormat="1" x14ac:dyDescent="0.2"/>
    <row r="172" s="1" customFormat="1" x14ac:dyDescent="0.2"/>
    <row r="173" s="1" customFormat="1" x14ac:dyDescent="0.2"/>
    <row r="174" s="1" customFormat="1" x14ac:dyDescent="0.2"/>
    <row r="175" s="1" customFormat="1" x14ac:dyDescent="0.2"/>
    <row r="176" s="1" customFormat="1" x14ac:dyDescent="0.2"/>
    <row r="177" s="1" customFormat="1" x14ac:dyDescent="0.2"/>
    <row r="178" s="1" customFormat="1" x14ac:dyDescent="0.2"/>
    <row r="179" s="1" customFormat="1" x14ac:dyDescent="0.2"/>
    <row r="180" s="1" customFormat="1" x14ac:dyDescent="0.2"/>
    <row r="181" s="1" customFormat="1" x14ac:dyDescent="0.2"/>
    <row r="182" s="1" customFormat="1" x14ac:dyDescent="0.2"/>
    <row r="183" s="1" customFormat="1" x14ac:dyDescent="0.2"/>
    <row r="184" s="1" customFormat="1" x14ac:dyDescent="0.2"/>
    <row r="185" s="1" customFormat="1" x14ac:dyDescent="0.2"/>
    <row r="186" s="1" customFormat="1" x14ac:dyDescent="0.2"/>
    <row r="187" s="1" customFormat="1" x14ac:dyDescent="0.2"/>
    <row r="188" s="1" customFormat="1" x14ac:dyDescent="0.2"/>
    <row r="189" s="1" customFormat="1" x14ac:dyDescent="0.2"/>
    <row r="190" s="1" customFormat="1" x14ac:dyDescent="0.2"/>
    <row r="191" s="1" customFormat="1" x14ac:dyDescent="0.2"/>
    <row r="192" s="1" customFormat="1" x14ac:dyDescent="0.2"/>
    <row r="193" s="1" customFormat="1" x14ac:dyDescent="0.2"/>
    <row r="194" s="1" customFormat="1" x14ac:dyDescent="0.2"/>
    <row r="195" s="1" customFormat="1" x14ac:dyDescent="0.2"/>
    <row r="196" s="1" customFormat="1" x14ac:dyDescent="0.2"/>
    <row r="197" s="1" customFormat="1" x14ac:dyDescent="0.2"/>
    <row r="198" s="1" customFormat="1" x14ac:dyDescent="0.2"/>
    <row r="199" s="1" customFormat="1" x14ac:dyDescent="0.2"/>
    <row r="200" s="1" customFormat="1" x14ac:dyDescent="0.2"/>
    <row r="201" s="1" customFormat="1" x14ac:dyDescent="0.2"/>
    <row r="202" s="1" customFormat="1" x14ac:dyDescent="0.2"/>
    <row r="203" s="1" customFormat="1" x14ac:dyDescent="0.2"/>
    <row r="204" s="1" customFormat="1" x14ac:dyDescent="0.2"/>
    <row r="205" s="1" customFormat="1" x14ac:dyDescent="0.2"/>
    <row r="206" s="1" customFormat="1" x14ac:dyDescent="0.2"/>
    <row r="207" s="1" customFormat="1" x14ac:dyDescent="0.2"/>
    <row r="208" s="1" customFormat="1" x14ac:dyDescent="0.2"/>
    <row r="209" s="1" customFormat="1" x14ac:dyDescent="0.2"/>
    <row r="210" s="1" customFormat="1" x14ac:dyDescent="0.2"/>
    <row r="211" s="1" customFormat="1" x14ac:dyDescent="0.2"/>
    <row r="212" s="1" customFormat="1" x14ac:dyDescent="0.2"/>
    <row r="213" s="1" customFormat="1" x14ac:dyDescent="0.2"/>
    <row r="214" s="1" customFormat="1" x14ac:dyDescent="0.2"/>
    <row r="215" s="1" customFormat="1" x14ac:dyDescent="0.2"/>
    <row r="216" s="1" customFormat="1" x14ac:dyDescent="0.2"/>
    <row r="217" s="1" customFormat="1" x14ac:dyDescent="0.2"/>
    <row r="218" s="1" customFormat="1" x14ac:dyDescent="0.2"/>
    <row r="219" s="1" customFormat="1" x14ac:dyDescent="0.2"/>
    <row r="220" s="1" customFormat="1" x14ac:dyDescent="0.2"/>
    <row r="221" s="1" customFormat="1" x14ac:dyDescent="0.2"/>
    <row r="222" s="1" customFormat="1" x14ac:dyDescent="0.2"/>
    <row r="223" s="1" customFormat="1" x14ac:dyDescent="0.2"/>
    <row r="224" s="1" customFormat="1" x14ac:dyDescent="0.2"/>
    <row r="225" s="1" customFormat="1" x14ac:dyDescent="0.2"/>
    <row r="226" s="1" customFormat="1" x14ac:dyDescent="0.2"/>
    <row r="227" s="1" customFormat="1" x14ac:dyDescent="0.2"/>
    <row r="228" s="1" customFormat="1" x14ac:dyDescent="0.2"/>
    <row r="229" s="1" customFormat="1" x14ac:dyDescent="0.2"/>
    <row r="230" s="1" customFormat="1" x14ac:dyDescent="0.2"/>
    <row r="231" s="1" customFormat="1" x14ac:dyDescent="0.2"/>
    <row r="232" s="1" customFormat="1" x14ac:dyDescent="0.2"/>
    <row r="233" s="1" customFormat="1" x14ac:dyDescent="0.2"/>
    <row r="234" s="1" customFormat="1" x14ac:dyDescent="0.2"/>
    <row r="235" s="1" customFormat="1" x14ac:dyDescent="0.2"/>
    <row r="236" s="1" customFormat="1" x14ac:dyDescent="0.2"/>
    <row r="237" s="1" customFormat="1" x14ac:dyDescent="0.2"/>
    <row r="238" s="1" customFormat="1" x14ac:dyDescent="0.2"/>
    <row r="239" s="1" customFormat="1" x14ac:dyDescent="0.2"/>
    <row r="240" s="1" customFormat="1" x14ac:dyDescent="0.2"/>
    <row r="241" s="1" customFormat="1" x14ac:dyDescent="0.2"/>
    <row r="242" s="1" customFormat="1" x14ac:dyDescent="0.2"/>
    <row r="243" s="1" customFormat="1" x14ac:dyDescent="0.2"/>
    <row r="244" s="1" customFormat="1" x14ac:dyDescent="0.2"/>
    <row r="245" s="1" customFormat="1" x14ac:dyDescent="0.2"/>
    <row r="246" s="1" customFormat="1" x14ac:dyDescent="0.2"/>
    <row r="247" s="1" customFormat="1" x14ac:dyDescent="0.2"/>
    <row r="248" s="1" customFormat="1" x14ac:dyDescent="0.2"/>
    <row r="249" s="1" customFormat="1" x14ac:dyDescent="0.2"/>
    <row r="250" s="1" customFormat="1" x14ac:dyDescent="0.2"/>
    <row r="251" s="1" customFormat="1" x14ac:dyDescent="0.2"/>
    <row r="252" s="1" customFormat="1" x14ac:dyDescent="0.2"/>
    <row r="253" s="1" customFormat="1" x14ac:dyDescent="0.2"/>
    <row r="254" s="1" customFormat="1" x14ac:dyDescent="0.2"/>
    <row r="255" s="1" customFormat="1" x14ac:dyDescent="0.2"/>
    <row r="256" s="1" customFormat="1" x14ac:dyDescent="0.2"/>
    <row r="257" s="1" customFormat="1" x14ac:dyDescent="0.2"/>
    <row r="258" s="1" customFormat="1" x14ac:dyDescent="0.2"/>
    <row r="259" s="1" customFormat="1" x14ac:dyDescent="0.2"/>
    <row r="260" s="1" customFormat="1" x14ac:dyDescent="0.2"/>
    <row r="261" s="1" customFormat="1" x14ac:dyDescent="0.2"/>
    <row r="262" s="1" customFormat="1" x14ac:dyDescent="0.2"/>
    <row r="263" s="1" customFormat="1" x14ac:dyDescent="0.2"/>
    <row r="264" s="1" customFormat="1" x14ac:dyDescent="0.2"/>
    <row r="265" s="1" customFormat="1" x14ac:dyDescent="0.2"/>
    <row r="266" s="1" customFormat="1" x14ac:dyDescent="0.2"/>
    <row r="267" s="1" customFormat="1" x14ac:dyDescent="0.2"/>
    <row r="268" s="1" customFormat="1" x14ac:dyDescent="0.2"/>
    <row r="269" s="1" customFormat="1" x14ac:dyDescent="0.2"/>
    <row r="270" s="1" customFormat="1" x14ac:dyDescent="0.2"/>
    <row r="271" s="1" customFormat="1" x14ac:dyDescent="0.2"/>
    <row r="272" s="1" customFormat="1" x14ac:dyDescent="0.2"/>
    <row r="273" s="1" customFormat="1" x14ac:dyDescent="0.2"/>
    <row r="274" s="1" customFormat="1" x14ac:dyDescent="0.2"/>
    <row r="275" s="1" customFormat="1" x14ac:dyDescent="0.2"/>
    <row r="276" s="1" customFormat="1" x14ac:dyDescent="0.2"/>
    <row r="277" s="1" customFormat="1" x14ac:dyDescent="0.2"/>
    <row r="278" s="1" customFormat="1" x14ac:dyDescent="0.2"/>
    <row r="279" s="1" customFormat="1" x14ac:dyDescent="0.2"/>
    <row r="280" s="1" customFormat="1" x14ac:dyDescent="0.2"/>
    <row r="281" s="1" customFormat="1" x14ac:dyDescent="0.2"/>
    <row r="282" s="1" customFormat="1" x14ac:dyDescent="0.2"/>
    <row r="283" s="1" customFormat="1" x14ac:dyDescent="0.2"/>
    <row r="284" s="1" customFormat="1" x14ac:dyDescent="0.2"/>
    <row r="285" s="1" customFormat="1" x14ac:dyDescent="0.2"/>
    <row r="286" s="1" customFormat="1" x14ac:dyDescent="0.2"/>
    <row r="287" s="1" customFormat="1" x14ac:dyDescent="0.2"/>
    <row r="288" s="1" customFormat="1" x14ac:dyDescent="0.2"/>
    <row r="289" s="1" customFormat="1" x14ac:dyDescent="0.2"/>
    <row r="290" s="1" customFormat="1" x14ac:dyDescent="0.2"/>
    <row r="291" s="1" customFormat="1" x14ac:dyDescent="0.2"/>
    <row r="292" s="1" customFormat="1" x14ac:dyDescent="0.2"/>
    <row r="293" s="1" customFormat="1" x14ac:dyDescent="0.2"/>
    <row r="294" s="1" customFormat="1" x14ac:dyDescent="0.2"/>
    <row r="295" s="1" customFormat="1" x14ac:dyDescent="0.2"/>
    <row r="296" s="1" customFormat="1" x14ac:dyDescent="0.2"/>
    <row r="297" s="1" customFormat="1" x14ac:dyDescent="0.2"/>
    <row r="298" s="1" customFormat="1" x14ac:dyDescent="0.2"/>
    <row r="299" s="1" customFormat="1" x14ac:dyDescent="0.2"/>
    <row r="300" s="1" customFormat="1" x14ac:dyDescent="0.2"/>
    <row r="301" s="1" customFormat="1" x14ac:dyDescent="0.2"/>
    <row r="302" s="1" customFormat="1" x14ac:dyDescent="0.2"/>
    <row r="303" s="1" customFormat="1" x14ac:dyDescent="0.2"/>
    <row r="304" s="1" customFormat="1" x14ac:dyDescent="0.2"/>
    <row r="305" s="1" customFormat="1" x14ac:dyDescent="0.2"/>
    <row r="306" s="1" customFormat="1" x14ac:dyDescent="0.2"/>
    <row r="307" s="1" customFormat="1" x14ac:dyDescent="0.2"/>
    <row r="308" s="1" customFormat="1" x14ac:dyDescent="0.2"/>
    <row r="309" s="1" customFormat="1" x14ac:dyDescent="0.2"/>
    <row r="310" s="1" customFormat="1" x14ac:dyDescent="0.2"/>
    <row r="311" s="1" customFormat="1" x14ac:dyDescent="0.2"/>
    <row r="312" s="1" customFormat="1" x14ac:dyDescent="0.2"/>
    <row r="313" s="1" customFormat="1" x14ac:dyDescent="0.2"/>
    <row r="314" s="1" customFormat="1" x14ac:dyDescent="0.2"/>
    <row r="315" s="1" customFormat="1" x14ac:dyDescent="0.2"/>
    <row r="316" s="1" customFormat="1" x14ac:dyDescent="0.2"/>
    <row r="317" s="1" customFormat="1" x14ac:dyDescent="0.2"/>
    <row r="318" s="1" customFormat="1" x14ac:dyDescent="0.2"/>
    <row r="319" s="1" customFormat="1" x14ac:dyDescent="0.2"/>
    <row r="320" s="1" customFormat="1" x14ac:dyDescent="0.2"/>
    <row r="321" s="1" customFormat="1" x14ac:dyDescent="0.2"/>
    <row r="322" s="1" customFormat="1" x14ac:dyDescent="0.2"/>
    <row r="323" s="1" customFormat="1" x14ac:dyDescent="0.2"/>
    <row r="324" s="1" customFormat="1" x14ac:dyDescent="0.2"/>
    <row r="325" s="1" customFormat="1" x14ac:dyDescent="0.2"/>
    <row r="326" s="1" customFormat="1" x14ac:dyDescent="0.2"/>
    <row r="327" s="1" customFormat="1" x14ac:dyDescent="0.2"/>
    <row r="328" s="1" customFormat="1" x14ac:dyDescent="0.2"/>
    <row r="329" s="1" customFormat="1" x14ac:dyDescent="0.2"/>
    <row r="330" s="1" customFormat="1" x14ac:dyDescent="0.2"/>
    <row r="331" s="1" customFormat="1" x14ac:dyDescent="0.2"/>
    <row r="332" s="1" customFormat="1" x14ac:dyDescent="0.2"/>
    <row r="333" s="1" customFormat="1" x14ac:dyDescent="0.2"/>
    <row r="334" s="1" customFormat="1" x14ac:dyDescent="0.2"/>
    <row r="335" s="1" customFormat="1" x14ac:dyDescent="0.2"/>
    <row r="336" s="1" customFormat="1" x14ac:dyDescent="0.2"/>
    <row r="337" s="1" customFormat="1" x14ac:dyDescent="0.2"/>
    <row r="338" s="1" customFormat="1" x14ac:dyDescent="0.2"/>
    <row r="339" s="1" customFormat="1" x14ac:dyDescent="0.2"/>
    <row r="340" s="1" customFormat="1" x14ac:dyDescent="0.2"/>
    <row r="341" s="1" customFormat="1" x14ac:dyDescent="0.2"/>
    <row r="342" s="1" customFormat="1" x14ac:dyDescent="0.2"/>
    <row r="343" s="1" customFormat="1" x14ac:dyDescent="0.2"/>
    <row r="344" s="1" customFormat="1" x14ac:dyDescent="0.2"/>
    <row r="345" s="1" customFormat="1" x14ac:dyDescent="0.2"/>
    <row r="346" s="1" customFormat="1" x14ac:dyDescent="0.2"/>
    <row r="347" s="1" customFormat="1" x14ac:dyDescent="0.2"/>
    <row r="348" s="1" customFormat="1" x14ac:dyDescent="0.2"/>
    <row r="349" s="1" customFormat="1" x14ac:dyDescent="0.2"/>
    <row r="350" s="1" customFormat="1" x14ac:dyDescent="0.2"/>
    <row r="351" s="1" customFormat="1" x14ac:dyDescent="0.2"/>
    <row r="352" s="1" customFormat="1" x14ac:dyDescent="0.2"/>
    <row r="353" s="1" customFormat="1" x14ac:dyDescent="0.2"/>
    <row r="354" s="1" customFormat="1" x14ac:dyDescent="0.2"/>
    <row r="355" s="1" customFormat="1" x14ac:dyDescent="0.2"/>
    <row r="356" s="1" customFormat="1" x14ac:dyDescent="0.2"/>
    <row r="357" s="1" customFormat="1" x14ac:dyDescent="0.2"/>
    <row r="358" s="1" customFormat="1" x14ac:dyDescent="0.2"/>
    <row r="359" s="1" customFormat="1" x14ac:dyDescent="0.2"/>
    <row r="360" s="1" customFormat="1" x14ac:dyDescent="0.2"/>
    <row r="361" s="1" customFormat="1" x14ac:dyDescent="0.2"/>
    <row r="362" s="1" customFormat="1" x14ac:dyDescent="0.2"/>
    <row r="363" s="1" customFormat="1" x14ac:dyDescent="0.2"/>
    <row r="364" s="1" customFormat="1" x14ac:dyDescent="0.2"/>
    <row r="365" s="1" customFormat="1" x14ac:dyDescent="0.2"/>
    <row r="366" s="1" customFormat="1" x14ac:dyDescent="0.2"/>
    <row r="367" s="1" customFormat="1" x14ac:dyDescent="0.2"/>
    <row r="368" s="1" customFormat="1" x14ac:dyDescent="0.2"/>
    <row r="369" s="1" customFormat="1" x14ac:dyDescent="0.2"/>
    <row r="370" s="1" customFormat="1" x14ac:dyDescent="0.2"/>
    <row r="371" s="1" customFormat="1" x14ac:dyDescent="0.2"/>
    <row r="372" s="1" customFormat="1" x14ac:dyDescent="0.2"/>
    <row r="373" s="1" customFormat="1" x14ac:dyDescent="0.2"/>
    <row r="374" s="1" customFormat="1" x14ac:dyDescent="0.2"/>
    <row r="375" s="1" customFormat="1" x14ac:dyDescent="0.2"/>
    <row r="376" s="1" customFormat="1" x14ac:dyDescent="0.2"/>
    <row r="377" s="1" customFormat="1" x14ac:dyDescent="0.2"/>
    <row r="378" s="1" customFormat="1" x14ac:dyDescent="0.2"/>
    <row r="379" s="1" customFormat="1" x14ac:dyDescent="0.2"/>
    <row r="380" s="1" customFormat="1" x14ac:dyDescent="0.2"/>
    <row r="381" s="1" customFormat="1" x14ac:dyDescent="0.2"/>
    <row r="382" s="1" customFormat="1" x14ac:dyDescent="0.2"/>
    <row r="383" s="1" customFormat="1" x14ac:dyDescent="0.2"/>
    <row r="384" s="1" customFormat="1" x14ac:dyDescent="0.2"/>
    <row r="385" s="1" customFormat="1" x14ac:dyDescent="0.2"/>
    <row r="386" s="1" customFormat="1" x14ac:dyDescent="0.2"/>
    <row r="387" s="1" customFormat="1" x14ac:dyDescent="0.2"/>
    <row r="388" s="1" customFormat="1" x14ac:dyDescent="0.2"/>
    <row r="389" s="1" customFormat="1" x14ac:dyDescent="0.2"/>
    <row r="390" s="1" customFormat="1" x14ac:dyDescent="0.2"/>
    <row r="391" s="1" customFormat="1" x14ac:dyDescent="0.2"/>
    <row r="392" s="1" customFormat="1" x14ac:dyDescent="0.2"/>
    <row r="393" s="1" customFormat="1" x14ac:dyDescent="0.2"/>
    <row r="394" s="1" customFormat="1" x14ac:dyDescent="0.2"/>
    <row r="395" s="1" customFormat="1" x14ac:dyDescent="0.2"/>
    <row r="396" s="1" customFormat="1" x14ac:dyDescent="0.2"/>
    <row r="397" s="1" customFormat="1" x14ac:dyDescent="0.2"/>
    <row r="398" s="1" customFormat="1" x14ac:dyDescent="0.2"/>
    <row r="399" s="1" customFormat="1" x14ac:dyDescent="0.2"/>
    <row r="400" s="1" customFormat="1" x14ac:dyDescent="0.2"/>
    <row r="401" s="1" customFormat="1" x14ac:dyDescent="0.2"/>
    <row r="402" s="1" customFormat="1" x14ac:dyDescent="0.2"/>
    <row r="403" s="1" customFormat="1" x14ac:dyDescent="0.2"/>
    <row r="404" s="1" customFormat="1" x14ac:dyDescent="0.2"/>
    <row r="405" s="1" customFormat="1" x14ac:dyDescent="0.2"/>
    <row r="406" s="1" customFormat="1" x14ac:dyDescent="0.2"/>
    <row r="407" s="1" customFormat="1" x14ac:dyDescent="0.2"/>
    <row r="408" s="1" customFormat="1" x14ac:dyDescent="0.2"/>
    <row r="409" s="1" customFormat="1" x14ac:dyDescent="0.2"/>
    <row r="410" s="1" customFormat="1" x14ac:dyDescent="0.2"/>
    <row r="411" s="1" customFormat="1" x14ac:dyDescent="0.2"/>
    <row r="412" s="1" customFormat="1" x14ac:dyDescent="0.2"/>
    <row r="413" s="1" customFormat="1" x14ac:dyDescent="0.2"/>
    <row r="414" s="1" customFormat="1" x14ac:dyDescent="0.2"/>
    <row r="415" s="1" customFormat="1" x14ac:dyDescent="0.2"/>
    <row r="416" s="1" customFormat="1" x14ac:dyDescent="0.2"/>
    <row r="417" s="1" customFormat="1" x14ac:dyDescent="0.2"/>
    <row r="418" s="1" customFormat="1" x14ac:dyDescent="0.2"/>
    <row r="419" s="1" customFormat="1" x14ac:dyDescent="0.2"/>
    <row r="420" s="1" customFormat="1" x14ac:dyDescent="0.2"/>
    <row r="421" s="1" customFormat="1" x14ac:dyDescent="0.2"/>
    <row r="422" s="1" customFormat="1" x14ac:dyDescent="0.2"/>
    <row r="423" s="1" customFormat="1" x14ac:dyDescent="0.2"/>
    <row r="424" s="1" customFormat="1" x14ac:dyDescent="0.2"/>
    <row r="425" s="1" customFormat="1" x14ac:dyDescent="0.2"/>
    <row r="426" s="1" customFormat="1" x14ac:dyDescent="0.2"/>
    <row r="427" s="1" customFormat="1" x14ac:dyDescent="0.2"/>
    <row r="428" s="1" customFormat="1" x14ac:dyDescent="0.2"/>
    <row r="429" s="1" customFormat="1" x14ac:dyDescent="0.2"/>
    <row r="430" s="1" customFormat="1" x14ac:dyDescent="0.2"/>
    <row r="431" s="1" customFormat="1" x14ac:dyDescent="0.2"/>
    <row r="432" s="1" customFormat="1" x14ac:dyDescent="0.2"/>
    <row r="433" s="1" customFormat="1" x14ac:dyDescent="0.2"/>
    <row r="434" s="1" customFormat="1" x14ac:dyDescent="0.2"/>
    <row r="435" s="1" customFormat="1" x14ac:dyDescent="0.2"/>
    <row r="436" s="1" customFormat="1" x14ac:dyDescent="0.2"/>
    <row r="437" s="1" customFormat="1" x14ac:dyDescent="0.2"/>
    <row r="438" s="1" customFormat="1" x14ac:dyDescent="0.2"/>
    <row r="439" s="1" customFormat="1" x14ac:dyDescent="0.2"/>
    <row r="440" s="1" customFormat="1" x14ac:dyDescent="0.2"/>
    <row r="441" s="1" customFormat="1" x14ac:dyDescent="0.2"/>
    <row r="442" s="1" customFormat="1" x14ac:dyDescent="0.2"/>
    <row r="443" s="1" customFormat="1" x14ac:dyDescent="0.2"/>
    <row r="444" s="1" customFormat="1" x14ac:dyDescent="0.2"/>
    <row r="445" s="1" customFormat="1" x14ac:dyDescent="0.2"/>
    <row r="446" s="1" customFormat="1" x14ac:dyDescent="0.2"/>
    <row r="447" s="1" customFormat="1" x14ac:dyDescent="0.2"/>
    <row r="448" s="1" customFormat="1" x14ac:dyDescent="0.2"/>
    <row r="449" s="1" customFormat="1" x14ac:dyDescent="0.2"/>
    <row r="450" s="1" customFormat="1" x14ac:dyDescent="0.2"/>
    <row r="451" s="1" customFormat="1" x14ac:dyDescent="0.2"/>
    <row r="452" s="1" customFormat="1" x14ac:dyDescent="0.2"/>
    <row r="453" s="1" customFormat="1" x14ac:dyDescent="0.2"/>
    <row r="454" s="1" customFormat="1" x14ac:dyDescent="0.2"/>
    <row r="455" s="1" customFormat="1" x14ac:dyDescent="0.2"/>
    <row r="456" s="1" customFormat="1" x14ac:dyDescent="0.2"/>
    <row r="457" s="1" customFormat="1" x14ac:dyDescent="0.2"/>
    <row r="458" s="1" customFormat="1" x14ac:dyDescent="0.2"/>
    <row r="459" s="1" customFormat="1" x14ac:dyDescent="0.2"/>
    <row r="460" s="1" customFormat="1" x14ac:dyDescent="0.2"/>
    <row r="461" s="1" customFormat="1" x14ac:dyDescent="0.2"/>
    <row r="462" s="1" customFormat="1" x14ac:dyDescent="0.2"/>
    <row r="463" s="1" customFormat="1" x14ac:dyDescent="0.2"/>
    <row r="464" s="1" customFormat="1" x14ac:dyDescent="0.2"/>
    <row r="465" s="1" customFormat="1" x14ac:dyDescent="0.2"/>
    <row r="466" s="1" customFormat="1" x14ac:dyDescent="0.2"/>
    <row r="467" s="1" customFormat="1" x14ac:dyDescent="0.2"/>
    <row r="468" s="1" customFormat="1" x14ac:dyDescent="0.2"/>
    <row r="469" s="1" customFormat="1" x14ac:dyDescent="0.2"/>
    <row r="470" s="1" customFormat="1" x14ac:dyDescent="0.2"/>
    <row r="471" s="1" customFormat="1" x14ac:dyDescent="0.2"/>
    <row r="472" s="1" customFormat="1" x14ac:dyDescent="0.2"/>
    <row r="473" s="1" customFormat="1" x14ac:dyDescent="0.2"/>
    <row r="474" s="1" customFormat="1" x14ac:dyDescent="0.2"/>
    <row r="475" s="1" customFormat="1" x14ac:dyDescent="0.2"/>
    <row r="476" s="1" customFormat="1" x14ac:dyDescent="0.2"/>
    <row r="477" s="1" customFormat="1" x14ac:dyDescent="0.2"/>
    <row r="478" s="1" customFormat="1" x14ac:dyDescent="0.2"/>
    <row r="479" s="1" customFormat="1" x14ac:dyDescent="0.2"/>
    <row r="480" s="1" customFormat="1" x14ac:dyDescent="0.2"/>
    <row r="481" s="1" customFormat="1" x14ac:dyDescent="0.2"/>
    <row r="482" s="1" customFormat="1" x14ac:dyDescent="0.2"/>
    <row r="483" s="1" customFormat="1" x14ac:dyDescent="0.2"/>
    <row r="484" s="1" customFormat="1" x14ac:dyDescent="0.2"/>
    <row r="485" s="1" customFormat="1" x14ac:dyDescent="0.2"/>
    <row r="486" s="1" customFormat="1" x14ac:dyDescent="0.2"/>
    <row r="487" s="1" customFormat="1" x14ac:dyDescent="0.2"/>
    <row r="488" s="1" customFormat="1" x14ac:dyDescent="0.2"/>
    <row r="489" s="1" customFormat="1" x14ac:dyDescent="0.2"/>
    <row r="490" s="1" customFormat="1" x14ac:dyDescent="0.2"/>
    <row r="491" s="1" customFormat="1" x14ac:dyDescent="0.2"/>
    <row r="492" s="1" customFormat="1" x14ac:dyDescent="0.2"/>
    <row r="493" s="1" customFormat="1" x14ac:dyDescent="0.2"/>
    <row r="494" s="1" customFormat="1" x14ac:dyDescent="0.2"/>
    <row r="495" s="1" customFormat="1" x14ac:dyDescent="0.2"/>
    <row r="496" s="1" customFormat="1" x14ac:dyDescent="0.2"/>
    <row r="497" s="1" customFormat="1" x14ac:dyDescent="0.2"/>
    <row r="498" s="1" customFormat="1" x14ac:dyDescent="0.2"/>
    <row r="499" s="1" customFormat="1" x14ac:dyDescent="0.2"/>
    <row r="500" s="1" customFormat="1" x14ac:dyDescent="0.2"/>
    <row r="501" s="1" customFormat="1" x14ac:dyDescent="0.2"/>
    <row r="502" s="1" customFormat="1" x14ac:dyDescent="0.2"/>
    <row r="503" s="1" customFormat="1" x14ac:dyDescent="0.2"/>
    <row r="504" s="1" customFormat="1" x14ac:dyDescent="0.2"/>
    <row r="505" s="1" customFormat="1" x14ac:dyDescent="0.2"/>
    <row r="506" s="1" customFormat="1" x14ac:dyDescent="0.2"/>
    <row r="507" s="1" customFormat="1" x14ac:dyDescent="0.2"/>
    <row r="508" s="1" customFormat="1" x14ac:dyDescent="0.2"/>
    <row r="509" s="1" customFormat="1" x14ac:dyDescent="0.2"/>
    <row r="510" s="1" customFormat="1" x14ac:dyDescent="0.2"/>
    <row r="511" s="1" customFormat="1" x14ac:dyDescent="0.2"/>
    <row r="512" s="1" customFormat="1" x14ac:dyDescent="0.2"/>
    <row r="513" s="1" customFormat="1" x14ac:dyDescent="0.2"/>
    <row r="514" s="1" customFormat="1" x14ac:dyDescent="0.2"/>
    <row r="515" s="1" customFormat="1" x14ac:dyDescent="0.2"/>
    <row r="516" s="1" customFormat="1" x14ac:dyDescent="0.2"/>
    <row r="517" s="1" customFormat="1" x14ac:dyDescent="0.2"/>
    <row r="518" s="1" customFormat="1" x14ac:dyDescent="0.2"/>
    <row r="519" s="1" customFormat="1" x14ac:dyDescent="0.2"/>
    <row r="520" s="1" customFormat="1" x14ac:dyDescent="0.2"/>
    <row r="521" s="1" customFormat="1" x14ac:dyDescent="0.2"/>
    <row r="522" s="1" customFormat="1" x14ac:dyDescent="0.2"/>
    <row r="523" s="1" customFormat="1" x14ac:dyDescent="0.2"/>
    <row r="524" s="1" customFormat="1" x14ac:dyDescent="0.2"/>
    <row r="525" s="1" customFormat="1" x14ac:dyDescent="0.2"/>
    <row r="526" s="1" customFormat="1" x14ac:dyDescent="0.2"/>
    <row r="527" s="1" customFormat="1" x14ac:dyDescent="0.2"/>
    <row r="528" s="1" customFormat="1" x14ac:dyDescent="0.2"/>
    <row r="529" s="1" customFormat="1" x14ac:dyDescent="0.2"/>
    <row r="530" s="1" customFormat="1" x14ac:dyDescent="0.2"/>
    <row r="531" s="1" customFormat="1" x14ac:dyDescent="0.2"/>
    <row r="532" s="1" customFormat="1" x14ac:dyDescent="0.2"/>
    <row r="533" s="1" customFormat="1" x14ac:dyDescent="0.2"/>
    <row r="534" s="1" customFormat="1" x14ac:dyDescent="0.2"/>
    <row r="535" s="1" customFormat="1" x14ac:dyDescent="0.2"/>
    <row r="536" s="1" customFormat="1" x14ac:dyDescent="0.2"/>
    <row r="537" s="1" customFormat="1" x14ac:dyDescent="0.2"/>
    <row r="538" s="1" customFormat="1" x14ac:dyDescent="0.2"/>
    <row r="539" s="1" customFormat="1" x14ac:dyDescent="0.2"/>
    <row r="540" s="1" customFormat="1" x14ac:dyDescent="0.2"/>
    <row r="541" s="1" customFormat="1" x14ac:dyDescent="0.2"/>
    <row r="542" s="1" customFormat="1" x14ac:dyDescent="0.2"/>
    <row r="543" s="1" customFormat="1" x14ac:dyDescent="0.2"/>
    <row r="544" s="1" customFormat="1" x14ac:dyDescent="0.2"/>
    <row r="545" s="1" customFormat="1" x14ac:dyDescent="0.2"/>
    <row r="546" s="1" customFormat="1" x14ac:dyDescent="0.2"/>
    <row r="547" s="1" customFormat="1" x14ac:dyDescent="0.2"/>
    <row r="548" s="1" customFormat="1" x14ac:dyDescent="0.2"/>
    <row r="549" s="1" customFormat="1" x14ac:dyDescent="0.2"/>
    <row r="550" s="1" customFormat="1" x14ac:dyDescent="0.2"/>
    <row r="551" s="1" customFormat="1" x14ac:dyDescent="0.2"/>
    <row r="552" s="1" customFormat="1" x14ac:dyDescent="0.2"/>
    <row r="553" s="1" customFormat="1" x14ac:dyDescent="0.2"/>
    <row r="554" s="1" customFormat="1" x14ac:dyDescent="0.2"/>
    <row r="555" s="1" customFormat="1" x14ac:dyDescent="0.2"/>
    <row r="556" s="1" customFormat="1" x14ac:dyDescent="0.2"/>
    <row r="557" s="1" customFormat="1" x14ac:dyDescent="0.2"/>
    <row r="558" s="1" customFormat="1" x14ac:dyDescent="0.2"/>
    <row r="559" s="1" customFormat="1" x14ac:dyDescent="0.2"/>
    <row r="560" s="1" customFormat="1" x14ac:dyDescent="0.2"/>
    <row r="561" s="1" customFormat="1" x14ac:dyDescent="0.2"/>
    <row r="562" s="1" customFormat="1" x14ac:dyDescent="0.2"/>
    <row r="563" s="1" customFormat="1" x14ac:dyDescent="0.2"/>
    <row r="564" s="1" customFormat="1" x14ac:dyDescent="0.2"/>
    <row r="565" s="1" customFormat="1" x14ac:dyDescent="0.2"/>
    <row r="566" s="1" customFormat="1" x14ac:dyDescent="0.2"/>
    <row r="567" s="1" customFormat="1" x14ac:dyDescent="0.2"/>
    <row r="568" s="1" customFormat="1" x14ac:dyDescent="0.2"/>
    <row r="569" s="1" customFormat="1" x14ac:dyDescent="0.2"/>
    <row r="570" s="1" customFormat="1" x14ac:dyDescent="0.2"/>
    <row r="571" s="1" customFormat="1" x14ac:dyDescent="0.2"/>
    <row r="572" s="1" customFormat="1" x14ac:dyDescent="0.2"/>
    <row r="573" s="1" customFormat="1" x14ac:dyDescent="0.2"/>
    <row r="574" s="1" customFormat="1" x14ac:dyDescent="0.2"/>
    <row r="575" s="1" customFormat="1" x14ac:dyDescent="0.2"/>
    <row r="576" s="1" customFormat="1" x14ac:dyDescent="0.2"/>
    <row r="577" s="1" customFormat="1" x14ac:dyDescent="0.2"/>
    <row r="578" s="1" customFormat="1" x14ac:dyDescent="0.2"/>
    <row r="579" s="1" customFormat="1" x14ac:dyDescent="0.2"/>
    <row r="580" s="1" customFormat="1" x14ac:dyDescent="0.2"/>
    <row r="581" s="1" customFormat="1" x14ac:dyDescent="0.2"/>
    <row r="582" s="1" customFormat="1" x14ac:dyDescent="0.2"/>
    <row r="583" s="1" customFormat="1" x14ac:dyDescent="0.2"/>
    <row r="584" s="1" customFormat="1" x14ac:dyDescent="0.2"/>
    <row r="585" s="1" customFormat="1" x14ac:dyDescent="0.2"/>
    <row r="586" s="1" customFormat="1" x14ac:dyDescent="0.2"/>
    <row r="587" s="1" customFormat="1" x14ac:dyDescent="0.2"/>
    <row r="588" s="1" customFormat="1" x14ac:dyDescent="0.2"/>
    <row r="589" s="1" customFormat="1" x14ac:dyDescent="0.2"/>
    <row r="590" s="1" customFormat="1" x14ac:dyDescent="0.2"/>
    <row r="591" s="1" customFormat="1" x14ac:dyDescent="0.2"/>
    <row r="592" s="1" customFormat="1" x14ac:dyDescent="0.2"/>
    <row r="593" s="1" customFormat="1" x14ac:dyDescent="0.2"/>
    <row r="594" s="1" customFormat="1" x14ac:dyDescent="0.2"/>
    <row r="595" s="1" customFormat="1" x14ac:dyDescent="0.2"/>
    <row r="596" s="1" customFormat="1" x14ac:dyDescent="0.2"/>
    <row r="597" s="1" customFormat="1" x14ac:dyDescent="0.2"/>
    <row r="598" s="1" customFormat="1" x14ac:dyDescent="0.2"/>
    <row r="599" s="1" customFormat="1" x14ac:dyDescent="0.2"/>
    <row r="600" s="1" customFormat="1" x14ac:dyDescent="0.2"/>
    <row r="601" s="1" customFormat="1" x14ac:dyDescent="0.2"/>
    <row r="602" s="1" customFormat="1" x14ac:dyDescent="0.2"/>
    <row r="603" s="1" customFormat="1" x14ac:dyDescent="0.2"/>
    <row r="604" s="1" customFormat="1" x14ac:dyDescent="0.2"/>
    <row r="605" s="1" customFormat="1" x14ac:dyDescent="0.2"/>
    <row r="606" s="1" customFormat="1" x14ac:dyDescent="0.2"/>
    <row r="607" s="1" customFormat="1" x14ac:dyDescent="0.2"/>
    <row r="608" s="1" customFormat="1" x14ac:dyDescent="0.2"/>
    <row r="609" s="1" customFormat="1" x14ac:dyDescent="0.2"/>
    <row r="610" s="1" customFormat="1" x14ac:dyDescent="0.2"/>
    <row r="611" s="1" customFormat="1" x14ac:dyDescent="0.2"/>
    <row r="612" s="1" customFormat="1" x14ac:dyDescent="0.2"/>
    <row r="613" s="1" customFormat="1" x14ac:dyDescent="0.2"/>
    <row r="614" s="1" customFormat="1" x14ac:dyDescent="0.2"/>
    <row r="615" s="1" customFormat="1" x14ac:dyDescent="0.2"/>
    <row r="616" s="1" customFormat="1" x14ac:dyDescent="0.2"/>
    <row r="617" s="1" customFormat="1" x14ac:dyDescent="0.2"/>
    <row r="618" s="1" customFormat="1" x14ac:dyDescent="0.2"/>
    <row r="619" s="1" customFormat="1" x14ac:dyDescent="0.2"/>
    <row r="620" s="1" customFormat="1" x14ac:dyDescent="0.2"/>
    <row r="621" s="1" customFormat="1" x14ac:dyDescent="0.2"/>
    <row r="622" s="1" customFormat="1" x14ac:dyDescent="0.2"/>
    <row r="623" s="1" customFormat="1" x14ac:dyDescent="0.2"/>
    <row r="624" s="1" customFormat="1" x14ac:dyDescent="0.2"/>
    <row r="625" s="1" customFormat="1" x14ac:dyDescent="0.2"/>
    <row r="626" s="1" customFormat="1" x14ac:dyDescent="0.2"/>
    <row r="627" s="1" customFormat="1" x14ac:dyDescent="0.2"/>
    <row r="628" s="1" customFormat="1" x14ac:dyDescent="0.2"/>
    <row r="629" s="1" customFormat="1" x14ac:dyDescent="0.2"/>
    <row r="630" s="1" customFormat="1" x14ac:dyDescent="0.2"/>
    <row r="631" s="1" customFormat="1" x14ac:dyDescent="0.2"/>
    <row r="632" s="1" customFormat="1" x14ac:dyDescent="0.2"/>
    <row r="633" s="1" customFormat="1" x14ac:dyDescent="0.2"/>
    <row r="634" s="1" customFormat="1" x14ac:dyDescent="0.2"/>
    <row r="635" s="1" customFormat="1" x14ac:dyDescent="0.2"/>
    <row r="636" s="1" customFormat="1" x14ac:dyDescent="0.2"/>
    <row r="637" s="1" customFormat="1" x14ac:dyDescent="0.2"/>
    <row r="638" s="1" customFormat="1" x14ac:dyDescent="0.2"/>
    <row r="639" s="1" customFormat="1" x14ac:dyDescent="0.2"/>
    <row r="640" s="1" customFormat="1" x14ac:dyDescent="0.2"/>
    <row r="641" s="1" customFormat="1" x14ac:dyDescent="0.2"/>
    <row r="642" s="1" customFormat="1" x14ac:dyDescent="0.2"/>
    <row r="643" s="1" customFormat="1" x14ac:dyDescent="0.2"/>
    <row r="644" s="1" customFormat="1" x14ac:dyDescent="0.2"/>
    <row r="645" s="1" customFormat="1" x14ac:dyDescent="0.2"/>
    <row r="646" s="1" customFormat="1" x14ac:dyDescent="0.2"/>
    <row r="647" s="1" customFormat="1" x14ac:dyDescent="0.2"/>
    <row r="648" s="1" customFormat="1" x14ac:dyDescent="0.2"/>
    <row r="649" s="1" customFormat="1" x14ac:dyDescent="0.2"/>
    <row r="650" s="1" customFormat="1" x14ac:dyDescent="0.2"/>
    <row r="651" s="1" customFormat="1" x14ac:dyDescent="0.2"/>
    <row r="652" s="1" customFormat="1" x14ac:dyDescent="0.2"/>
    <row r="653" s="1" customFormat="1" x14ac:dyDescent="0.2"/>
    <row r="654" s="1" customFormat="1" x14ac:dyDescent="0.2"/>
    <row r="655" s="1" customFormat="1" x14ac:dyDescent="0.2"/>
    <row r="656" s="1" customFormat="1" x14ac:dyDescent="0.2"/>
    <row r="657" s="1" customFormat="1" x14ac:dyDescent="0.2"/>
    <row r="658" s="1" customFormat="1" x14ac:dyDescent="0.2"/>
    <row r="659" s="1" customFormat="1" x14ac:dyDescent="0.2"/>
    <row r="660" s="1" customFormat="1" x14ac:dyDescent="0.2"/>
    <row r="661" s="1" customFormat="1" x14ac:dyDescent="0.2"/>
    <row r="662" s="1" customFormat="1" x14ac:dyDescent="0.2"/>
    <row r="663" s="1" customFormat="1" x14ac:dyDescent="0.2"/>
    <row r="664" s="1" customFormat="1" x14ac:dyDescent="0.2"/>
    <row r="665" s="1" customFormat="1" x14ac:dyDescent="0.2"/>
    <row r="666" s="1" customFormat="1" x14ac:dyDescent="0.2"/>
    <row r="667" s="1" customFormat="1" x14ac:dyDescent="0.2"/>
    <row r="668" s="1" customFormat="1" x14ac:dyDescent="0.2"/>
    <row r="669" s="1" customFormat="1" x14ac:dyDescent="0.2"/>
    <row r="670" s="1" customFormat="1" x14ac:dyDescent="0.2"/>
    <row r="671" s="1" customFormat="1" x14ac:dyDescent="0.2"/>
    <row r="672" s="1" customFormat="1" x14ac:dyDescent="0.2"/>
    <row r="673" s="1" customFormat="1" x14ac:dyDescent="0.2"/>
    <row r="674" s="1" customFormat="1" x14ac:dyDescent="0.2"/>
    <row r="675" s="1" customFormat="1" x14ac:dyDescent="0.2"/>
    <row r="676" s="1" customFormat="1" x14ac:dyDescent="0.2"/>
    <row r="677" s="1" customFormat="1" x14ac:dyDescent="0.2"/>
    <row r="678" s="1" customFormat="1" x14ac:dyDescent="0.2"/>
    <row r="679" s="1" customFormat="1" x14ac:dyDescent="0.2"/>
    <row r="680" s="1" customFormat="1" x14ac:dyDescent="0.2"/>
    <row r="681" s="1" customFormat="1" x14ac:dyDescent="0.2"/>
    <row r="682" s="1" customFormat="1" x14ac:dyDescent="0.2"/>
    <row r="683" s="1" customFormat="1" x14ac:dyDescent="0.2"/>
    <row r="684" s="1" customFormat="1" x14ac:dyDescent="0.2"/>
    <row r="685" s="1" customFormat="1" x14ac:dyDescent="0.2"/>
    <row r="686" s="1" customFormat="1" x14ac:dyDescent="0.2"/>
    <row r="687" s="1" customFormat="1" x14ac:dyDescent="0.2"/>
    <row r="688" s="1" customFormat="1" x14ac:dyDescent="0.2"/>
    <row r="689" s="1" customFormat="1" x14ac:dyDescent="0.2"/>
    <row r="690" s="1" customFormat="1" x14ac:dyDescent="0.2"/>
    <row r="691" s="1" customFormat="1" x14ac:dyDescent="0.2"/>
    <row r="692" s="1" customFormat="1" x14ac:dyDescent="0.2"/>
    <row r="693" s="1" customFormat="1" x14ac:dyDescent="0.2"/>
    <row r="694" s="1" customFormat="1" x14ac:dyDescent="0.2"/>
    <row r="695" s="1" customFormat="1" x14ac:dyDescent="0.2"/>
    <row r="696" s="1" customFormat="1" x14ac:dyDescent="0.2"/>
    <row r="697" s="1" customFormat="1" x14ac:dyDescent="0.2"/>
    <row r="698" s="1" customFormat="1" x14ac:dyDescent="0.2"/>
    <row r="699" s="1" customFormat="1" x14ac:dyDescent="0.2"/>
    <row r="700" s="1" customFormat="1" x14ac:dyDescent="0.2"/>
    <row r="701" s="1" customFormat="1" x14ac:dyDescent="0.2"/>
    <row r="702" s="1" customFormat="1" x14ac:dyDescent="0.2"/>
    <row r="703" s="1" customFormat="1" x14ac:dyDescent="0.2"/>
    <row r="704" s="1" customFormat="1" x14ac:dyDescent="0.2"/>
    <row r="705" s="1" customFormat="1" x14ac:dyDescent="0.2"/>
    <row r="706" s="1" customFormat="1" x14ac:dyDescent="0.2"/>
    <row r="707" s="1" customFormat="1" x14ac:dyDescent="0.2"/>
    <row r="708" s="1" customFormat="1" x14ac:dyDescent="0.2"/>
    <row r="709" s="1" customFormat="1" x14ac:dyDescent="0.2"/>
    <row r="710" s="1" customFormat="1" x14ac:dyDescent="0.2"/>
    <row r="711" s="1" customFormat="1" x14ac:dyDescent="0.2"/>
    <row r="712" s="1" customFormat="1" x14ac:dyDescent="0.2"/>
    <row r="713" s="1" customFormat="1" x14ac:dyDescent="0.2"/>
    <row r="714" s="1" customFormat="1" x14ac:dyDescent="0.2"/>
    <row r="715" s="1" customFormat="1" x14ac:dyDescent="0.2"/>
    <row r="716" s="1" customFormat="1" x14ac:dyDescent="0.2"/>
    <row r="717" s="1" customFormat="1" x14ac:dyDescent="0.2"/>
    <row r="718" s="1" customFormat="1" x14ac:dyDescent="0.2"/>
    <row r="719" s="1" customFormat="1" x14ac:dyDescent="0.2"/>
    <row r="720" s="1" customFormat="1" x14ac:dyDescent="0.2"/>
    <row r="721" s="1" customFormat="1" x14ac:dyDescent="0.2"/>
    <row r="722" s="1" customFormat="1" x14ac:dyDescent="0.2"/>
    <row r="723" s="1" customFormat="1" x14ac:dyDescent="0.2"/>
    <row r="724" s="1" customFormat="1" x14ac:dyDescent="0.2"/>
    <row r="725" s="1" customFormat="1" x14ac:dyDescent="0.2"/>
    <row r="726" s="1" customFormat="1" x14ac:dyDescent="0.2"/>
    <row r="727" s="1" customFormat="1" x14ac:dyDescent="0.2"/>
    <row r="728" s="1" customFormat="1" x14ac:dyDescent="0.2"/>
    <row r="729" s="1" customFormat="1" x14ac:dyDescent="0.2"/>
    <row r="730" s="1" customFormat="1" x14ac:dyDescent="0.2"/>
    <row r="731" s="1" customFormat="1" x14ac:dyDescent="0.2"/>
    <row r="732" s="1" customFormat="1" x14ac:dyDescent="0.2"/>
    <row r="733" s="1" customFormat="1" x14ac:dyDescent="0.2"/>
    <row r="734" s="1" customFormat="1" x14ac:dyDescent="0.2"/>
    <row r="735" s="1" customFormat="1" x14ac:dyDescent="0.2"/>
    <row r="736" s="1" customFormat="1" x14ac:dyDescent="0.2"/>
    <row r="737" s="1" customFormat="1" x14ac:dyDescent="0.2"/>
    <row r="738" s="1" customFormat="1" x14ac:dyDescent="0.2"/>
    <row r="739" s="1" customFormat="1" x14ac:dyDescent="0.2"/>
    <row r="740" s="1" customFormat="1" x14ac:dyDescent="0.2"/>
    <row r="741" s="1" customFormat="1" x14ac:dyDescent="0.2"/>
    <row r="742" s="1" customFormat="1" x14ac:dyDescent="0.2"/>
    <row r="743" s="1" customFormat="1" x14ac:dyDescent="0.2"/>
    <row r="744" s="1" customFormat="1" x14ac:dyDescent="0.2"/>
    <row r="745" s="1" customFormat="1" x14ac:dyDescent="0.2"/>
    <row r="746" s="1" customFormat="1" x14ac:dyDescent="0.2"/>
    <row r="747" s="1" customFormat="1" x14ac:dyDescent="0.2"/>
    <row r="748" s="1" customFormat="1" x14ac:dyDescent="0.2"/>
    <row r="749" s="1" customFormat="1" x14ac:dyDescent="0.2"/>
    <row r="750" s="1" customFormat="1" x14ac:dyDescent="0.2"/>
    <row r="751" s="1" customFormat="1" x14ac:dyDescent="0.2"/>
    <row r="752" s="1" customFormat="1" x14ac:dyDescent="0.2"/>
    <row r="753" s="1" customFormat="1" x14ac:dyDescent="0.2"/>
    <row r="754" s="1" customFormat="1" x14ac:dyDescent="0.2"/>
    <row r="755" s="1" customFormat="1" x14ac:dyDescent="0.2"/>
    <row r="756" s="1" customFormat="1" x14ac:dyDescent="0.2"/>
    <row r="757" s="1" customFormat="1" x14ac:dyDescent="0.2"/>
    <row r="758" s="1" customFormat="1" x14ac:dyDescent="0.2"/>
    <row r="759" s="1" customFormat="1" x14ac:dyDescent="0.2"/>
    <row r="760" s="1" customFormat="1" x14ac:dyDescent="0.2"/>
    <row r="761" s="1" customFormat="1" x14ac:dyDescent="0.2"/>
    <row r="762" s="1" customFormat="1" x14ac:dyDescent="0.2"/>
    <row r="763" s="1" customFormat="1" x14ac:dyDescent="0.2"/>
    <row r="764" s="1" customFormat="1" x14ac:dyDescent="0.2"/>
    <row r="765" s="1" customFormat="1" x14ac:dyDescent="0.2"/>
    <row r="766" s="1" customFormat="1" x14ac:dyDescent="0.2"/>
    <row r="767" s="1" customFormat="1" x14ac:dyDescent="0.2"/>
    <row r="768" s="1" customFormat="1" x14ac:dyDescent="0.2"/>
    <row r="769" s="1" customFormat="1" x14ac:dyDescent="0.2"/>
    <row r="770" s="1" customFormat="1" x14ac:dyDescent="0.2"/>
    <row r="771" s="1" customFormat="1" x14ac:dyDescent="0.2"/>
    <row r="772" s="1" customFormat="1" x14ac:dyDescent="0.2"/>
    <row r="773" s="1" customFormat="1" x14ac:dyDescent="0.2"/>
    <row r="774" s="1" customFormat="1" x14ac:dyDescent="0.2"/>
    <row r="775" s="1" customFormat="1" x14ac:dyDescent="0.2"/>
    <row r="776" s="1" customFormat="1" x14ac:dyDescent="0.2"/>
    <row r="777" s="1" customFormat="1" x14ac:dyDescent="0.2"/>
    <row r="778" s="1" customFormat="1" x14ac:dyDescent="0.2"/>
    <row r="779" s="1" customFormat="1" x14ac:dyDescent="0.2"/>
    <row r="780" s="1" customFormat="1" x14ac:dyDescent="0.2"/>
    <row r="781" s="1" customFormat="1" x14ac:dyDescent="0.2"/>
    <row r="782" s="1" customFormat="1" x14ac:dyDescent="0.2"/>
    <row r="783" s="1" customFormat="1" x14ac:dyDescent="0.2"/>
    <row r="784" s="1" customFormat="1" x14ac:dyDescent="0.2"/>
    <row r="785" s="1" customFormat="1" x14ac:dyDescent="0.2"/>
    <row r="786" s="1" customFormat="1" x14ac:dyDescent="0.2"/>
    <row r="787" s="1" customFormat="1" x14ac:dyDescent="0.2"/>
    <row r="788" s="1" customFormat="1" x14ac:dyDescent="0.2"/>
    <row r="789" s="1" customFormat="1" x14ac:dyDescent="0.2"/>
    <row r="790" s="1" customFormat="1" x14ac:dyDescent="0.2"/>
    <row r="791" s="1" customFormat="1" x14ac:dyDescent="0.2"/>
    <row r="792" s="1" customFormat="1" x14ac:dyDescent="0.2"/>
    <row r="793" s="1" customFormat="1" x14ac:dyDescent="0.2"/>
    <row r="794" s="1" customFormat="1" x14ac:dyDescent="0.2"/>
    <row r="795" s="1" customFormat="1" x14ac:dyDescent="0.2"/>
    <row r="796" s="1" customFormat="1" x14ac:dyDescent="0.2"/>
    <row r="797" s="1" customFormat="1" x14ac:dyDescent="0.2"/>
    <row r="798" s="1" customFormat="1" x14ac:dyDescent="0.2"/>
    <row r="799" s="1" customFormat="1" x14ac:dyDescent="0.2"/>
    <row r="800" s="1" customFormat="1" x14ac:dyDescent="0.2"/>
    <row r="801" s="1" customFormat="1" x14ac:dyDescent="0.2"/>
    <row r="802" s="1" customFormat="1" x14ac:dyDescent="0.2"/>
    <row r="803" s="1" customFormat="1" x14ac:dyDescent="0.2"/>
    <row r="804" s="1" customFormat="1" x14ac:dyDescent="0.2"/>
    <row r="805" s="1" customFormat="1" x14ac:dyDescent="0.2"/>
    <row r="806" s="1" customFormat="1" x14ac:dyDescent="0.2"/>
    <row r="807" s="1" customFormat="1" x14ac:dyDescent="0.2"/>
    <row r="808" s="1" customFormat="1" x14ac:dyDescent="0.2"/>
    <row r="809" s="1" customFormat="1" x14ac:dyDescent="0.2"/>
    <row r="810" s="1" customFormat="1" x14ac:dyDescent="0.2"/>
    <row r="811" s="1" customFormat="1" x14ac:dyDescent="0.2"/>
    <row r="812" s="1" customFormat="1" x14ac:dyDescent="0.2"/>
    <row r="813" s="1" customFormat="1" x14ac:dyDescent="0.2"/>
    <row r="814" s="1" customFormat="1" x14ac:dyDescent="0.2"/>
    <row r="815" s="1" customFormat="1" x14ac:dyDescent="0.2"/>
    <row r="816" s="1" customFormat="1" x14ac:dyDescent="0.2"/>
    <row r="817" s="1" customFormat="1" x14ac:dyDescent="0.2"/>
    <row r="818" s="1" customFormat="1" x14ac:dyDescent="0.2"/>
    <row r="819" s="1" customFormat="1" x14ac:dyDescent="0.2"/>
    <row r="820" s="1" customFormat="1" x14ac:dyDescent="0.2"/>
    <row r="821" s="1" customFormat="1" x14ac:dyDescent="0.2"/>
    <row r="822" s="1" customFormat="1" x14ac:dyDescent="0.2"/>
    <row r="823" s="1" customFormat="1" x14ac:dyDescent="0.2"/>
    <row r="824" s="1" customFormat="1" x14ac:dyDescent="0.2"/>
    <row r="825" s="1" customFormat="1" x14ac:dyDescent="0.2"/>
    <row r="826" s="1" customFormat="1" x14ac:dyDescent="0.2"/>
    <row r="827" s="1" customFormat="1" x14ac:dyDescent="0.2"/>
    <row r="828" s="1" customFormat="1" x14ac:dyDescent="0.2"/>
    <row r="829" s="1" customFormat="1" x14ac:dyDescent="0.2"/>
    <row r="830" s="1" customFormat="1" x14ac:dyDescent="0.2"/>
    <row r="831" s="1" customFormat="1" x14ac:dyDescent="0.2"/>
    <row r="832" s="1" customFormat="1" x14ac:dyDescent="0.2"/>
    <row r="833" s="1" customFormat="1" x14ac:dyDescent="0.2"/>
    <row r="834" s="1" customFormat="1" x14ac:dyDescent="0.2"/>
    <row r="835" s="1" customFormat="1" x14ac:dyDescent="0.2"/>
    <row r="836" s="1" customFormat="1" x14ac:dyDescent="0.2"/>
    <row r="837" s="1" customFormat="1" x14ac:dyDescent="0.2"/>
    <row r="838" s="1" customFormat="1" x14ac:dyDescent="0.2"/>
    <row r="839" s="1" customFormat="1" x14ac:dyDescent="0.2"/>
    <row r="840" s="1" customFormat="1" x14ac:dyDescent="0.2"/>
    <row r="841" s="1" customFormat="1" x14ac:dyDescent="0.2"/>
    <row r="842" s="1" customFormat="1" x14ac:dyDescent="0.2"/>
    <row r="843" s="1" customFormat="1" x14ac:dyDescent="0.2"/>
    <row r="844" s="1" customFormat="1" x14ac:dyDescent="0.2"/>
    <row r="845" s="1" customFormat="1" x14ac:dyDescent="0.2"/>
    <row r="846" s="1" customFormat="1" x14ac:dyDescent="0.2"/>
    <row r="847" s="1" customFormat="1" x14ac:dyDescent="0.2"/>
    <row r="848" s="1" customFormat="1" x14ac:dyDescent="0.2"/>
    <row r="849" s="1" customFormat="1" x14ac:dyDescent="0.2"/>
    <row r="850" s="1" customFormat="1" x14ac:dyDescent="0.2"/>
    <row r="851" s="1" customFormat="1" x14ac:dyDescent="0.2"/>
    <row r="852" s="1" customFormat="1" x14ac:dyDescent="0.2"/>
    <row r="853" s="1" customFormat="1" x14ac:dyDescent="0.2"/>
    <row r="854" s="1" customFormat="1" x14ac:dyDescent="0.2"/>
    <row r="855" s="1" customFormat="1" x14ac:dyDescent="0.2"/>
    <row r="856" s="1" customFormat="1" x14ac:dyDescent="0.2"/>
    <row r="857" s="1" customFormat="1" x14ac:dyDescent="0.2"/>
    <row r="858" s="1" customFormat="1" x14ac:dyDescent="0.2"/>
    <row r="859" s="1" customFormat="1" x14ac:dyDescent="0.2"/>
    <row r="860" s="1" customFormat="1" x14ac:dyDescent="0.2"/>
    <row r="861" s="1" customFormat="1" x14ac:dyDescent="0.2"/>
    <row r="862" s="1" customFormat="1" x14ac:dyDescent="0.2"/>
    <row r="863" s="1" customFormat="1" x14ac:dyDescent="0.2"/>
    <row r="864" s="1" customFormat="1" x14ac:dyDescent="0.2"/>
    <row r="865" s="1" customFormat="1" x14ac:dyDescent="0.2"/>
    <row r="866" s="1" customFormat="1" x14ac:dyDescent="0.2"/>
    <row r="867" s="1" customFormat="1" x14ac:dyDescent="0.2"/>
    <row r="868" s="1" customFormat="1" x14ac:dyDescent="0.2"/>
    <row r="869" s="1" customFormat="1" x14ac:dyDescent="0.2"/>
    <row r="870" s="1" customFormat="1" x14ac:dyDescent="0.2"/>
    <row r="871" s="1" customFormat="1" x14ac:dyDescent="0.2"/>
    <row r="872" s="1" customFormat="1" x14ac:dyDescent="0.2"/>
    <row r="873" s="1" customFormat="1" x14ac:dyDescent="0.2"/>
    <row r="874" s="1" customFormat="1" x14ac:dyDescent="0.2"/>
    <row r="875" s="1" customFormat="1" x14ac:dyDescent="0.2"/>
    <row r="876" s="1" customFormat="1" x14ac:dyDescent="0.2"/>
    <row r="877" s="1" customFormat="1" x14ac:dyDescent="0.2"/>
    <row r="878" s="1" customFormat="1" x14ac:dyDescent="0.2"/>
    <row r="879" s="1" customFormat="1" x14ac:dyDescent="0.2"/>
    <row r="880" s="1" customFormat="1" x14ac:dyDescent="0.2"/>
    <row r="881" s="1" customFormat="1" x14ac:dyDescent="0.2"/>
    <row r="882" s="1" customFormat="1" x14ac:dyDescent="0.2"/>
    <row r="883" s="1" customFormat="1" x14ac:dyDescent="0.2"/>
    <row r="884" s="1" customFormat="1" x14ac:dyDescent="0.2"/>
    <row r="885" s="1" customFormat="1" x14ac:dyDescent="0.2"/>
    <row r="886" s="1" customFormat="1" x14ac:dyDescent="0.2"/>
    <row r="887" s="1" customFormat="1" x14ac:dyDescent="0.2"/>
    <row r="888" s="1" customFormat="1" x14ac:dyDescent="0.2"/>
    <row r="889" s="1" customFormat="1" x14ac:dyDescent="0.2"/>
    <row r="890" s="1" customFormat="1" x14ac:dyDescent="0.2"/>
    <row r="891" s="1" customFormat="1" x14ac:dyDescent="0.2"/>
    <row r="892" s="1" customFormat="1" x14ac:dyDescent="0.2"/>
    <row r="893" s="1" customFormat="1" x14ac:dyDescent="0.2"/>
    <row r="894" s="1" customFormat="1" x14ac:dyDescent="0.2"/>
    <row r="895" s="1" customFormat="1" x14ac:dyDescent="0.2"/>
    <row r="896" s="1" customFormat="1" x14ac:dyDescent="0.2"/>
    <row r="897" s="1" customFormat="1" x14ac:dyDescent="0.2"/>
    <row r="898" s="1" customFormat="1" x14ac:dyDescent="0.2"/>
    <row r="899" s="1" customFormat="1" x14ac:dyDescent="0.2"/>
    <row r="900" s="1" customFormat="1" x14ac:dyDescent="0.2"/>
    <row r="901" s="1" customFormat="1" x14ac:dyDescent="0.2"/>
    <row r="902" s="1" customFormat="1" x14ac:dyDescent="0.2"/>
    <row r="903" s="1" customFormat="1" x14ac:dyDescent="0.2"/>
    <row r="904" s="1" customFormat="1" x14ac:dyDescent="0.2"/>
    <row r="905" s="1" customFormat="1" x14ac:dyDescent="0.2"/>
    <row r="906" s="1" customFormat="1" x14ac:dyDescent="0.2"/>
    <row r="907" s="1" customFormat="1" x14ac:dyDescent="0.2"/>
    <row r="908" s="1" customFormat="1" x14ac:dyDescent="0.2"/>
    <row r="909" s="1" customFormat="1" x14ac:dyDescent="0.2"/>
    <row r="910" s="1" customFormat="1" x14ac:dyDescent="0.2"/>
    <row r="911" s="1" customFormat="1" x14ac:dyDescent="0.2"/>
    <row r="912" s="1" customFormat="1" x14ac:dyDescent="0.2"/>
    <row r="913" s="1" customFormat="1" x14ac:dyDescent="0.2"/>
    <row r="914" s="1" customFormat="1" x14ac:dyDescent="0.2"/>
    <row r="915" s="1" customFormat="1" x14ac:dyDescent="0.2"/>
    <row r="916" s="1" customFormat="1" x14ac:dyDescent="0.2"/>
    <row r="917" s="1" customFormat="1" x14ac:dyDescent="0.2"/>
    <row r="918" s="1" customFormat="1" x14ac:dyDescent="0.2"/>
    <row r="919" s="1" customFormat="1" x14ac:dyDescent="0.2"/>
    <row r="920" s="1" customFormat="1" x14ac:dyDescent="0.2"/>
    <row r="921" s="1" customFormat="1" x14ac:dyDescent="0.2"/>
    <row r="922" s="1" customFormat="1" x14ac:dyDescent="0.2"/>
    <row r="923" s="1" customFormat="1" x14ac:dyDescent="0.2"/>
    <row r="924" s="1" customFormat="1" x14ac:dyDescent="0.2"/>
    <row r="925" s="1" customFormat="1" x14ac:dyDescent="0.2"/>
    <row r="926" s="1" customFormat="1" x14ac:dyDescent="0.2"/>
    <row r="927" s="1" customFormat="1" x14ac:dyDescent="0.2"/>
    <row r="928" s="1" customFormat="1" x14ac:dyDescent="0.2"/>
    <row r="929" s="1" customFormat="1" x14ac:dyDescent="0.2"/>
    <row r="930" s="1" customFormat="1" x14ac:dyDescent="0.2"/>
    <row r="931" s="1" customFormat="1" x14ac:dyDescent="0.2"/>
    <row r="932" s="1" customFormat="1" x14ac:dyDescent="0.2"/>
    <row r="933" s="1" customFormat="1" x14ac:dyDescent="0.2"/>
    <row r="934" s="1" customFormat="1" x14ac:dyDescent="0.2"/>
    <row r="935" s="1" customFormat="1" x14ac:dyDescent="0.2"/>
    <row r="936" s="1" customFormat="1" x14ac:dyDescent="0.2"/>
    <row r="937" s="1" customFormat="1" x14ac:dyDescent="0.2"/>
    <row r="938" s="1" customFormat="1" x14ac:dyDescent="0.2"/>
    <row r="939" s="1" customFormat="1" x14ac:dyDescent="0.2"/>
    <row r="940" s="1" customFormat="1" x14ac:dyDescent="0.2"/>
    <row r="941" s="1" customFormat="1" x14ac:dyDescent="0.2"/>
    <row r="942" s="1" customFormat="1" x14ac:dyDescent="0.2"/>
    <row r="943" s="1" customFormat="1" x14ac:dyDescent="0.2"/>
    <row r="944" s="1" customFormat="1" x14ac:dyDescent="0.2"/>
    <row r="945" s="1" customFormat="1" x14ac:dyDescent="0.2"/>
    <row r="946" s="1" customFormat="1" x14ac:dyDescent="0.2"/>
    <row r="947" s="1" customFormat="1" x14ac:dyDescent="0.2"/>
    <row r="948" s="1" customFormat="1" x14ac:dyDescent="0.2"/>
    <row r="949" s="1" customFormat="1" x14ac:dyDescent="0.2"/>
    <row r="950" s="1" customFormat="1" x14ac:dyDescent="0.2"/>
    <row r="951" s="1" customFormat="1" x14ac:dyDescent="0.2"/>
    <row r="952" s="1" customFormat="1" x14ac:dyDescent="0.2"/>
    <row r="953" s="1" customFormat="1" x14ac:dyDescent="0.2"/>
    <row r="954" s="1" customFormat="1" x14ac:dyDescent="0.2"/>
    <row r="955" s="1" customFormat="1" x14ac:dyDescent="0.2"/>
    <row r="956" s="1" customFormat="1" x14ac:dyDescent="0.2"/>
    <row r="957" s="1" customFormat="1" x14ac:dyDescent="0.2"/>
    <row r="958" s="1" customFormat="1" x14ac:dyDescent="0.2"/>
    <row r="959" s="1" customFormat="1" x14ac:dyDescent="0.2"/>
    <row r="960" s="1" customFormat="1" x14ac:dyDescent="0.2"/>
    <row r="961" s="1" customFormat="1" x14ac:dyDescent="0.2"/>
    <row r="962" s="1" customFormat="1" x14ac:dyDescent="0.2"/>
    <row r="963" s="1" customFormat="1" x14ac:dyDescent="0.2"/>
    <row r="964" s="1" customFormat="1" x14ac:dyDescent="0.2"/>
    <row r="965" s="1" customFormat="1" x14ac:dyDescent="0.2"/>
    <row r="966" s="1" customFormat="1" x14ac:dyDescent="0.2"/>
    <row r="967" s="1" customFormat="1" x14ac:dyDescent="0.2"/>
    <row r="968" s="1" customFormat="1" x14ac:dyDescent="0.2"/>
    <row r="969" s="1" customFormat="1" x14ac:dyDescent="0.2"/>
    <row r="970" s="1" customFormat="1" x14ac:dyDescent="0.2"/>
    <row r="971" s="1" customFormat="1" x14ac:dyDescent="0.2"/>
    <row r="972" s="1" customFormat="1" x14ac:dyDescent="0.2"/>
    <row r="973" s="1" customFormat="1" x14ac:dyDescent="0.2"/>
    <row r="974" s="1" customFormat="1" x14ac:dyDescent="0.2"/>
    <row r="975" s="1" customFormat="1" x14ac:dyDescent="0.2"/>
    <row r="976" s="1" customFormat="1" x14ac:dyDescent="0.2"/>
    <row r="977" s="1" customFormat="1" x14ac:dyDescent="0.2"/>
    <row r="978" s="1" customFormat="1" x14ac:dyDescent="0.2"/>
    <row r="979" s="1" customFormat="1" x14ac:dyDescent="0.2"/>
    <row r="980" s="1" customFormat="1" x14ac:dyDescent="0.2"/>
    <row r="981" s="1" customFormat="1" x14ac:dyDescent="0.2"/>
    <row r="982" s="1" customFormat="1" x14ac:dyDescent="0.2"/>
    <row r="983" s="1" customFormat="1" x14ac:dyDescent="0.2"/>
    <row r="984" s="1" customFormat="1" x14ac:dyDescent="0.2"/>
    <row r="985" s="1" customFormat="1" x14ac:dyDescent="0.2"/>
    <row r="986" s="1" customFormat="1" x14ac:dyDescent="0.2"/>
    <row r="987" s="1" customFormat="1" x14ac:dyDescent="0.2"/>
    <row r="988" s="1" customFormat="1" x14ac:dyDescent="0.2"/>
    <row r="989" s="1" customFormat="1" x14ac:dyDescent="0.2"/>
    <row r="990" s="1" customFormat="1" x14ac:dyDescent="0.2"/>
    <row r="991" s="1" customFormat="1" x14ac:dyDescent="0.2"/>
    <row r="992" s="1" customFormat="1" x14ac:dyDescent="0.2"/>
    <row r="993" s="1" customFormat="1" x14ac:dyDescent="0.2"/>
    <row r="994" s="1" customFormat="1" x14ac:dyDescent="0.2"/>
    <row r="995" s="1" customFormat="1" x14ac:dyDescent="0.2"/>
    <row r="996" s="1" customFormat="1" x14ac:dyDescent="0.2"/>
    <row r="997" s="1" customFormat="1" x14ac:dyDescent="0.2"/>
    <row r="998" s="1" customFormat="1" x14ac:dyDescent="0.2"/>
    <row r="999" s="1" customFormat="1" x14ac:dyDescent="0.2"/>
    <row r="1000" s="1" customFormat="1" x14ac:dyDescent="0.2"/>
    <row r="1001" s="1" customFormat="1" x14ac:dyDescent="0.2"/>
    <row r="1002" s="1" customFormat="1" x14ac:dyDescent="0.2"/>
    <row r="1003" s="1" customFormat="1" x14ac:dyDescent="0.2"/>
    <row r="1004" s="1" customFormat="1" x14ac:dyDescent="0.2"/>
    <row r="1005" s="1" customFormat="1" x14ac:dyDescent="0.2"/>
    <row r="1006" s="1" customFormat="1" x14ac:dyDescent="0.2"/>
    <row r="1007" s="1" customFormat="1" x14ac:dyDescent="0.2"/>
    <row r="1008" s="1" customFormat="1" x14ac:dyDescent="0.2"/>
    <row r="1009" s="1" customFormat="1" x14ac:dyDescent="0.2"/>
    <row r="1010" s="1" customFormat="1" x14ac:dyDescent="0.2"/>
    <row r="1011" s="1" customFormat="1" x14ac:dyDescent="0.2"/>
    <row r="1012" s="1" customFormat="1" x14ac:dyDescent="0.2"/>
    <row r="1013" s="1" customFormat="1" x14ac:dyDescent="0.2"/>
    <row r="1014" s="1" customFormat="1" x14ac:dyDescent="0.2"/>
    <row r="1015" s="1" customFormat="1" x14ac:dyDescent="0.2"/>
    <row r="1016" s="1" customFormat="1" x14ac:dyDescent="0.2"/>
    <row r="1017" s="1" customFormat="1" x14ac:dyDescent="0.2"/>
    <row r="1018" s="1" customFormat="1" x14ac:dyDescent="0.2"/>
    <row r="1019" s="1" customFormat="1" x14ac:dyDescent="0.2"/>
    <row r="1020" s="1" customFormat="1" x14ac:dyDescent="0.2"/>
    <row r="1021" s="1" customFormat="1" x14ac:dyDescent="0.2"/>
    <row r="1022" s="1" customFormat="1" x14ac:dyDescent="0.2"/>
    <row r="1023" s="1" customFormat="1" x14ac:dyDescent="0.2"/>
    <row r="1024" s="1" customFormat="1" x14ac:dyDescent="0.2"/>
    <row r="1025" s="1" customFormat="1" x14ac:dyDescent="0.2"/>
    <row r="1026" s="1" customFormat="1" x14ac:dyDescent="0.2"/>
    <row r="1027" s="1" customFormat="1" x14ac:dyDescent="0.2"/>
    <row r="1028" s="1" customFormat="1" x14ac:dyDescent="0.2"/>
    <row r="1029" s="1" customFormat="1" x14ac:dyDescent="0.2"/>
    <row r="1030" s="1" customFormat="1" x14ac:dyDescent="0.2"/>
    <row r="1031" s="1" customFormat="1" x14ac:dyDescent="0.2"/>
    <row r="1032" s="1" customFormat="1" x14ac:dyDescent="0.2"/>
    <row r="1033" s="1" customFormat="1" x14ac:dyDescent="0.2"/>
    <row r="1034" s="1" customFormat="1" x14ac:dyDescent="0.2"/>
    <row r="1035" s="1" customFormat="1" x14ac:dyDescent="0.2"/>
    <row r="1036" s="1" customFormat="1" x14ac:dyDescent="0.2"/>
    <row r="1037" s="1" customFormat="1" x14ac:dyDescent="0.2"/>
    <row r="1038" s="1" customFormat="1" x14ac:dyDescent="0.2"/>
    <row r="1039" s="1" customFormat="1" x14ac:dyDescent="0.2"/>
    <row r="1040" s="1" customFormat="1" x14ac:dyDescent="0.2"/>
    <row r="1041" s="1" customFormat="1" x14ac:dyDescent="0.2"/>
    <row r="1042" s="1" customFormat="1" x14ac:dyDescent="0.2"/>
    <row r="1043" s="1" customFormat="1" x14ac:dyDescent="0.2"/>
    <row r="1044" s="1" customFormat="1" x14ac:dyDescent="0.2"/>
    <row r="1045" s="1" customFormat="1" x14ac:dyDescent="0.2"/>
    <row r="1046" s="1" customFormat="1" x14ac:dyDescent="0.2"/>
    <row r="1047" s="1" customFormat="1" x14ac:dyDescent="0.2"/>
    <row r="1048" s="1" customFormat="1" x14ac:dyDescent="0.2"/>
    <row r="1049" s="1" customFormat="1" x14ac:dyDescent="0.2"/>
    <row r="1050" s="1" customFormat="1" x14ac:dyDescent="0.2"/>
    <row r="1051" s="1" customFormat="1" x14ac:dyDescent="0.2"/>
    <row r="1052" s="1" customFormat="1" x14ac:dyDescent="0.2"/>
    <row r="1053" s="1" customFormat="1" x14ac:dyDescent="0.2"/>
    <row r="1054" s="1" customFormat="1" x14ac:dyDescent="0.2"/>
    <row r="1055" s="1" customFormat="1" x14ac:dyDescent="0.2"/>
    <row r="1056" s="1" customFormat="1" x14ac:dyDescent="0.2"/>
    <row r="1057" s="1" customFormat="1" x14ac:dyDescent="0.2"/>
    <row r="1058" s="1" customFormat="1" x14ac:dyDescent="0.2"/>
    <row r="1059" s="1" customFormat="1" x14ac:dyDescent="0.2"/>
    <row r="1060" s="1" customFormat="1" x14ac:dyDescent="0.2"/>
    <row r="1061" s="1" customFormat="1" x14ac:dyDescent="0.2"/>
    <row r="1062" s="1" customFormat="1" x14ac:dyDescent="0.2"/>
    <row r="1063" s="1" customFormat="1" x14ac:dyDescent="0.2"/>
    <row r="1064" s="1" customFormat="1" x14ac:dyDescent="0.2"/>
    <row r="1065" s="1" customFormat="1" x14ac:dyDescent="0.2"/>
    <row r="1066" s="1" customFormat="1" x14ac:dyDescent="0.2"/>
    <row r="1067" s="1" customFormat="1" x14ac:dyDescent="0.2"/>
    <row r="1068" s="1" customFormat="1" x14ac:dyDescent="0.2"/>
    <row r="1069" s="1" customFormat="1" x14ac:dyDescent="0.2"/>
    <row r="1070" s="1" customFormat="1" x14ac:dyDescent="0.2"/>
    <row r="1071" s="1" customFormat="1" x14ac:dyDescent="0.2"/>
    <row r="1072" s="1" customFormat="1" x14ac:dyDescent="0.2"/>
    <row r="1073" s="1" customFormat="1" x14ac:dyDescent="0.2"/>
    <row r="1074" s="1" customFormat="1" x14ac:dyDescent="0.2"/>
    <row r="1075" s="1" customFormat="1" x14ac:dyDescent="0.2"/>
    <row r="1076" s="1" customFormat="1" x14ac:dyDescent="0.2"/>
    <row r="1077" s="1" customFormat="1" x14ac:dyDescent="0.2"/>
    <row r="1078" s="1" customFormat="1" x14ac:dyDescent="0.2"/>
    <row r="1079" s="1" customFormat="1" x14ac:dyDescent="0.2"/>
    <row r="1080" s="1" customFormat="1" x14ac:dyDescent="0.2"/>
    <row r="1081" s="1" customFormat="1" x14ac:dyDescent="0.2"/>
    <row r="1082" s="1" customFormat="1" x14ac:dyDescent="0.2"/>
    <row r="1083" s="1" customFormat="1" x14ac:dyDescent="0.2"/>
    <row r="1084" s="1" customFormat="1" x14ac:dyDescent="0.2"/>
    <row r="1085" s="1" customFormat="1" x14ac:dyDescent="0.2"/>
    <row r="1086" s="1" customFormat="1" x14ac:dyDescent="0.2"/>
    <row r="1087" s="1" customFormat="1" x14ac:dyDescent="0.2"/>
    <row r="1088" s="1" customFormat="1" x14ac:dyDescent="0.2"/>
    <row r="1089" s="1" customFormat="1" x14ac:dyDescent="0.2"/>
    <row r="1090" s="1" customFormat="1" x14ac:dyDescent="0.2"/>
    <row r="1091" s="1" customFormat="1" x14ac:dyDescent="0.2"/>
    <row r="1092" s="1" customFormat="1" x14ac:dyDescent="0.2"/>
    <row r="1093" s="1" customFormat="1" x14ac:dyDescent="0.2"/>
    <row r="1094" s="1" customFormat="1" x14ac:dyDescent="0.2"/>
    <row r="1095" s="1" customFormat="1" x14ac:dyDescent="0.2"/>
    <row r="1096" s="1" customFormat="1" x14ac:dyDescent="0.2"/>
    <row r="1097" s="1" customFormat="1" x14ac:dyDescent="0.2"/>
    <row r="1098" s="1" customFormat="1" x14ac:dyDescent="0.2"/>
    <row r="1099" s="1" customFormat="1" x14ac:dyDescent="0.2"/>
    <row r="1100" s="1" customFormat="1" x14ac:dyDescent="0.2"/>
    <row r="1101" s="1" customFormat="1" x14ac:dyDescent="0.2"/>
    <row r="1102" s="1" customFormat="1" x14ac:dyDescent="0.2"/>
    <row r="1103" s="1" customFormat="1" x14ac:dyDescent="0.2"/>
    <row r="1104" s="1" customFormat="1" x14ac:dyDescent="0.2"/>
    <row r="1105" s="1" customFormat="1" x14ac:dyDescent="0.2"/>
    <row r="1106" s="1" customFormat="1" x14ac:dyDescent="0.2"/>
    <row r="1107" s="1" customFormat="1" x14ac:dyDescent="0.2"/>
    <row r="1108" s="1" customFormat="1" x14ac:dyDescent="0.2"/>
    <row r="1109" s="1" customFormat="1" x14ac:dyDescent="0.2"/>
    <row r="1110" s="1" customFormat="1" x14ac:dyDescent="0.2"/>
    <row r="1111" s="1" customFormat="1" x14ac:dyDescent="0.2"/>
    <row r="1112" s="1" customFormat="1" x14ac:dyDescent="0.2"/>
    <row r="1113" s="1" customFormat="1" x14ac:dyDescent="0.2"/>
    <row r="1114" s="1" customFormat="1" x14ac:dyDescent="0.2"/>
    <row r="1115" s="1" customFormat="1" x14ac:dyDescent="0.2"/>
    <row r="1116" s="1" customFormat="1" x14ac:dyDescent="0.2"/>
    <row r="1117" s="1" customFormat="1" x14ac:dyDescent="0.2"/>
    <row r="1118" s="1" customFormat="1" x14ac:dyDescent="0.2"/>
    <row r="1119" s="1" customFormat="1" x14ac:dyDescent="0.2"/>
    <row r="1120" s="1" customFormat="1" x14ac:dyDescent="0.2"/>
    <row r="1121" s="1" customFormat="1" x14ac:dyDescent="0.2"/>
    <row r="1122" s="1" customFormat="1" x14ac:dyDescent="0.2"/>
    <row r="1123" s="1" customFormat="1" x14ac:dyDescent="0.2"/>
    <row r="1124" s="1" customFormat="1" x14ac:dyDescent="0.2"/>
    <row r="1125" s="1" customFormat="1" x14ac:dyDescent="0.2"/>
    <row r="1126" s="1" customFormat="1" x14ac:dyDescent="0.2"/>
    <row r="1127" s="1" customFormat="1" x14ac:dyDescent="0.2"/>
    <row r="1128" s="1" customFormat="1" x14ac:dyDescent="0.2"/>
    <row r="1129" s="1" customFormat="1" x14ac:dyDescent="0.2"/>
    <row r="1130" s="1" customFormat="1" x14ac:dyDescent="0.2"/>
    <row r="1131" s="1" customFormat="1" x14ac:dyDescent="0.2"/>
    <row r="1132" s="1" customFormat="1" x14ac:dyDescent="0.2"/>
    <row r="1133" s="1" customFormat="1" x14ac:dyDescent="0.2"/>
    <row r="1134" s="1" customFormat="1" x14ac:dyDescent="0.2"/>
    <row r="1135" s="1" customFormat="1" x14ac:dyDescent="0.2"/>
    <row r="1136" s="1" customFormat="1" x14ac:dyDescent="0.2"/>
    <row r="1137" s="1" customFormat="1" x14ac:dyDescent="0.2"/>
    <row r="1138" s="1" customFormat="1" x14ac:dyDescent="0.2"/>
    <row r="1139" s="1" customFormat="1" x14ac:dyDescent="0.2"/>
    <row r="1140" s="1" customFormat="1" x14ac:dyDescent="0.2"/>
    <row r="1141" s="1" customFormat="1" x14ac:dyDescent="0.2"/>
    <row r="1142" s="1" customFormat="1" x14ac:dyDescent="0.2"/>
    <row r="1143" s="1" customFormat="1" x14ac:dyDescent="0.2"/>
    <row r="1144" s="1" customFormat="1" x14ac:dyDescent="0.2"/>
    <row r="1145" s="1" customFormat="1" x14ac:dyDescent="0.2"/>
    <row r="1146" s="1" customFormat="1" x14ac:dyDescent="0.2"/>
    <row r="1147" s="1" customFormat="1" x14ac:dyDescent="0.2"/>
    <row r="1148" s="1" customFormat="1" x14ac:dyDescent="0.2"/>
    <row r="1149" s="1" customFormat="1" x14ac:dyDescent="0.2"/>
    <row r="1150" s="1" customFormat="1" x14ac:dyDescent="0.2"/>
    <row r="1151" s="1" customFormat="1" x14ac:dyDescent="0.2"/>
    <row r="1152" s="1" customFormat="1" x14ac:dyDescent="0.2"/>
    <row r="1153" s="1" customFormat="1" x14ac:dyDescent="0.2"/>
    <row r="1154" s="1" customFormat="1" x14ac:dyDescent="0.2"/>
    <row r="1155" s="1" customFormat="1" x14ac:dyDescent="0.2"/>
    <row r="1156" s="1" customFormat="1" x14ac:dyDescent="0.2"/>
    <row r="1157" s="1" customFormat="1" x14ac:dyDescent="0.2"/>
    <row r="1158" s="1" customFormat="1" x14ac:dyDescent="0.2"/>
    <row r="1159" s="1" customFormat="1" x14ac:dyDescent="0.2"/>
    <row r="1160" s="1" customFormat="1" x14ac:dyDescent="0.2"/>
    <row r="1161" s="1" customFormat="1" x14ac:dyDescent="0.2"/>
    <row r="1162" s="1" customFormat="1" x14ac:dyDescent="0.2"/>
    <row r="1163" s="1" customFormat="1" x14ac:dyDescent="0.2"/>
    <row r="1164" s="1" customFormat="1" x14ac:dyDescent="0.2"/>
    <row r="1165" s="1" customFormat="1" x14ac:dyDescent="0.2"/>
    <row r="1166" s="1" customFormat="1" x14ac:dyDescent="0.2"/>
    <row r="1167" s="1" customFormat="1" x14ac:dyDescent="0.2"/>
    <row r="1168" s="1" customFormat="1" x14ac:dyDescent="0.2"/>
    <row r="1169" s="1" customFormat="1" x14ac:dyDescent="0.2"/>
    <row r="1170" s="1" customFormat="1" x14ac:dyDescent="0.2"/>
    <row r="1171" s="1" customFormat="1" x14ac:dyDescent="0.2"/>
    <row r="1172" s="1" customFormat="1" x14ac:dyDescent="0.2"/>
    <row r="1173" s="1" customFormat="1" x14ac:dyDescent="0.2"/>
    <row r="1174" s="1" customFormat="1" x14ac:dyDescent="0.2"/>
    <row r="1175" s="1" customFormat="1" x14ac:dyDescent="0.2"/>
    <row r="1176" s="1" customFormat="1" x14ac:dyDescent="0.2"/>
    <row r="1177" s="1" customFormat="1" x14ac:dyDescent="0.2"/>
    <row r="1178" s="1" customFormat="1" x14ac:dyDescent="0.2"/>
    <row r="1179" s="1" customFormat="1" x14ac:dyDescent="0.2"/>
    <row r="1180" s="1" customFormat="1" x14ac:dyDescent="0.2"/>
    <row r="1181" s="1" customFormat="1" x14ac:dyDescent="0.2"/>
    <row r="1182" s="1" customFormat="1" x14ac:dyDescent="0.2"/>
    <row r="1183" s="1" customFormat="1" x14ac:dyDescent="0.2"/>
    <row r="1184" s="1" customFormat="1" x14ac:dyDescent="0.2"/>
    <row r="1185" s="1" customFormat="1" x14ac:dyDescent="0.2"/>
    <row r="1186" s="1" customFormat="1" x14ac:dyDescent="0.2"/>
    <row r="1187" s="1" customFormat="1" x14ac:dyDescent="0.2"/>
    <row r="1188" s="1" customFormat="1" x14ac:dyDescent="0.2"/>
    <row r="1189" s="1" customFormat="1" x14ac:dyDescent="0.2"/>
    <row r="1190" s="1" customFormat="1" x14ac:dyDescent="0.2"/>
    <row r="1191" s="1" customFormat="1" x14ac:dyDescent="0.2"/>
    <row r="1192" s="1" customFormat="1" x14ac:dyDescent="0.2"/>
    <row r="1193" s="1" customFormat="1" x14ac:dyDescent="0.2"/>
    <row r="1194" s="1" customFormat="1" x14ac:dyDescent="0.2"/>
    <row r="1195" s="1" customFormat="1" x14ac:dyDescent="0.2"/>
    <row r="1196" s="1" customFormat="1" x14ac:dyDescent="0.2"/>
    <row r="1197" s="1" customFormat="1" x14ac:dyDescent="0.2"/>
    <row r="1198" s="1" customFormat="1" x14ac:dyDescent="0.2"/>
    <row r="1199" s="1" customFormat="1" x14ac:dyDescent="0.2"/>
    <row r="1200" s="1" customFormat="1" x14ac:dyDescent="0.2"/>
    <row r="1201" s="1" customFormat="1" x14ac:dyDescent="0.2"/>
    <row r="1202" s="1" customFormat="1" x14ac:dyDescent="0.2"/>
    <row r="1203" s="1" customFormat="1" x14ac:dyDescent="0.2"/>
    <row r="1204" s="1" customFormat="1" x14ac:dyDescent="0.2"/>
    <row r="1205" s="1" customFormat="1" x14ac:dyDescent="0.2"/>
    <row r="1206" s="1" customFormat="1" x14ac:dyDescent="0.2"/>
    <row r="1207" s="1" customFormat="1" x14ac:dyDescent="0.2"/>
    <row r="1208" s="1" customFormat="1" x14ac:dyDescent="0.2"/>
    <row r="1209" s="1" customFormat="1" x14ac:dyDescent="0.2"/>
    <row r="1210" s="1" customFormat="1" x14ac:dyDescent="0.2"/>
    <row r="1211" s="1" customFormat="1" x14ac:dyDescent="0.2"/>
    <row r="1212" s="1" customFormat="1" x14ac:dyDescent="0.2"/>
    <row r="1213" s="1" customFormat="1" x14ac:dyDescent="0.2"/>
    <row r="1214" s="1" customFormat="1" x14ac:dyDescent="0.2"/>
    <row r="1215" s="1" customFormat="1" x14ac:dyDescent="0.2"/>
    <row r="1216" s="1" customFormat="1" x14ac:dyDescent="0.2"/>
    <row r="1217" s="1" customFormat="1" x14ac:dyDescent="0.2"/>
    <row r="1218" s="1" customFormat="1" x14ac:dyDescent="0.2"/>
    <row r="1219" s="1" customFormat="1" x14ac:dyDescent="0.2"/>
    <row r="1220" s="1" customFormat="1" x14ac:dyDescent="0.2"/>
    <row r="1221" s="1" customFormat="1" x14ac:dyDescent="0.2"/>
    <row r="1222" s="1" customFormat="1" x14ac:dyDescent="0.2"/>
    <row r="1223" s="1" customFormat="1" x14ac:dyDescent="0.2"/>
    <row r="1224" s="1" customFormat="1" x14ac:dyDescent="0.2"/>
    <row r="1225" s="1" customFormat="1" x14ac:dyDescent="0.2"/>
    <row r="1226" s="1" customFormat="1" x14ac:dyDescent="0.2"/>
    <row r="1227" s="1" customFormat="1" x14ac:dyDescent="0.2"/>
    <row r="1228" s="1" customFormat="1" x14ac:dyDescent="0.2"/>
    <row r="1229" s="1" customFormat="1" x14ac:dyDescent="0.2"/>
    <row r="1230" s="1" customFormat="1" x14ac:dyDescent="0.2"/>
    <row r="1231" s="1" customFormat="1" x14ac:dyDescent="0.2"/>
    <row r="1232" s="1" customFormat="1" x14ac:dyDescent="0.2"/>
    <row r="1233" s="1" customFormat="1" x14ac:dyDescent="0.2"/>
    <row r="1234" s="1" customFormat="1" x14ac:dyDescent="0.2"/>
    <row r="1235" s="1" customFormat="1" x14ac:dyDescent="0.2"/>
    <row r="1236" s="1" customFormat="1" x14ac:dyDescent="0.2"/>
    <row r="1237" s="1" customFormat="1" x14ac:dyDescent="0.2"/>
    <row r="1238" s="1" customFormat="1" x14ac:dyDescent="0.2"/>
    <row r="1239" s="1" customFormat="1" x14ac:dyDescent="0.2"/>
    <row r="1240" s="1" customFormat="1" x14ac:dyDescent="0.2"/>
    <row r="1241" s="1" customFormat="1" x14ac:dyDescent="0.2"/>
    <row r="1242" s="1" customFormat="1" x14ac:dyDescent="0.2"/>
    <row r="1243" s="1" customFormat="1" x14ac:dyDescent="0.2"/>
    <row r="1244" s="1" customFormat="1" x14ac:dyDescent="0.2"/>
    <row r="1245" s="1" customFormat="1" x14ac:dyDescent="0.2"/>
    <row r="1246" s="1" customFormat="1" x14ac:dyDescent="0.2"/>
    <row r="1247" s="1" customFormat="1" x14ac:dyDescent="0.2"/>
    <row r="1248" s="1" customFormat="1" x14ac:dyDescent="0.2"/>
    <row r="1249" s="1" customFormat="1" x14ac:dyDescent="0.2"/>
    <row r="1250" s="1" customFormat="1" x14ac:dyDescent="0.2"/>
    <row r="1251" s="1" customFormat="1" x14ac:dyDescent="0.2"/>
    <row r="1252" s="1" customFormat="1" x14ac:dyDescent="0.2"/>
    <row r="1253" s="1" customFormat="1" x14ac:dyDescent="0.2"/>
    <row r="1254" s="1" customFormat="1" x14ac:dyDescent="0.2"/>
    <row r="1255" s="1" customFormat="1" x14ac:dyDescent="0.2"/>
    <row r="1256" s="1" customFormat="1" x14ac:dyDescent="0.2"/>
    <row r="1257" s="1" customFormat="1" x14ac:dyDescent="0.2"/>
    <row r="1258" s="1" customFormat="1" x14ac:dyDescent="0.2"/>
    <row r="1259" s="1" customFormat="1" x14ac:dyDescent="0.2"/>
    <row r="1260" s="1" customFormat="1" x14ac:dyDescent="0.2"/>
    <row r="1261" s="1" customFormat="1" x14ac:dyDescent="0.2"/>
    <row r="1262" s="1" customFormat="1" x14ac:dyDescent="0.2"/>
    <row r="1263" s="1" customFormat="1" x14ac:dyDescent="0.2"/>
    <row r="1264" s="1" customFormat="1" x14ac:dyDescent="0.2"/>
    <row r="1265" s="1" customFormat="1" x14ac:dyDescent="0.2"/>
    <row r="1266" s="1" customFormat="1" x14ac:dyDescent="0.2"/>
    <row r="1267" s="1" customFormat="1" x14ac:dyDescent="0.2"/>
    <row r="1268" s="1" customFormat="1" x14ac:dyDescent="0.2"/>
    <row r="1269" s="1" customFormat="1" x14ac:dyDescent="0.2"/>
    <row r="1270" s="1" customFormat="1" x14ac:dyDescent="0.2"/>
    <row r="1271" s="1" customFormat="1" x14ac:dyDescent="0.2"/>
    <row r="1272" s="1" customFormat="1" x14ac:dyDescent="0.2"/>
    <row r="1273" s="1" customFormat="1" x14ac:dyDescent="0.2"/>
    <row r="1274" s="1" customFormat="1" x14ac:dyDescent="0.2"/>
    <row r="1275" s="1" customFormat="1" x14ac:dyDescent="0.2"/>
    <row r="1276" s="1" customFormat="1" x14ac:dyDescent="0.2"/>
    <row r="1277" s="1" customFormat="1" x14ac:dyDescent="0.2"/>
    <row r="1278" s="1" customFormat="1" x14ac:dyDescent="0.2"/>
    <row r="1279" s="1" customFormat="1" x14ac:dyDescent="0.2"/>
    <row r="1280" s="1" customFormat="1" x14ac:dyDescent="0.2"/>
    <row r="1281" s="1" customFormat="1" x14ac:dyDescent="0.2"/>
    <row r="1282" s="1" customFormat="1" x14ac:dyDescent="0.2"/>
    <row r="1283" s="1" customFormat="1" x14ac:dyDescent="0.2"/>
    <row r="1284" s="1" customFormat="1" x14ac:dyDescent="0.2"/>
    <row r="1285" s="1" customFormat="1" x14ac:dyDescent="0.2"/>
    <row r="1286" s="1" customFormat="1" x14ac:dyDescent="0.2"/>
    <row r="1287" s="1" customFormat="1" x14ac:dyDescent="0.2"/>
    <row r="1288" s="1" customFormat="1" x14ac:dyDescent="0.2"/>
    <row r="1289" s="1" customFormat="1" x14ac:dyDescent="0.2"/>
    <row r="1290" s="1" customFormat="1" x14ac:dyDescent="0.2"/>
    <row r="1291" s="1" customFormat="1" x14ac:dyDescent="0.2"/>
    <row r="1292" s="1" customFormat="1" x14ac:dyDescent="0.2"/>
    <row r="1293" s="1" customFormat="1" x14ac:dyDescent="0.2"/>
    <row r="1294" s="1" customFormat="1" x14ac:dyDescent="0.2"/>
    <row r="1295" s="1" customFormat="1" x14ac:dyDescent="0.2"/>
    <row r="1296" s="1" customFormat="1" x14ac:dyDescent="0.2"/>
    <row r="1297" s="1" customFormat="1" x14ac:dyDescent="0.2"/>
    <row r="1298" s="1" customFormat="1" x14ac:dyDescent="0.2"/>
    <row r="1299" s="1" customFormat="1" x14ac:dyDescent="0.2"/>
    <row r="1300" s="1" customFormat="1" x14ac:dyDescent="0.2"/>
    <row r="1301" s="1" customFormat="1" x14ac:dyDescent="0.2"/>
    <row r="1302" s="1" customFormat="1" x14ac:dyDescent="0.2"/>
    <row r="1303" s="1" customFormat="1" x14ac:dyDescent="0.2"/>
    <row r="1304" s="1" customFormat="1" x14ac:dyDescent="0.2"/>
    <row r="1305" s="1" customFormat="1" x14ac:dyDescent="0.2"/>
    <row r="1306" s="1" customFormat="1" x14ac:dyDescent="0.2"/>
    <row r="1307" s="1" customFormat="1" x14ac:dyDescent="0.2"/>
    <row r="1308" s="1" customFormat="1" x14ac:dyDescent="0.2"/>
    <row r="1309" s="1" customFormat="1" x14ac:dyDescent="0.2"/>
    <row r="1310" s="1" customFormat="1" x14ac:dyDescent="0.2"/>
    <row r="1311" s="1" customFormat="1" x14ac:dyDescent="0.2"/>
    <row r="1312" s="1" customFormat="1" x14ac:dyDescent="0.2"/>
    <row r="1313" s="1" customFormat="1" x14ac:dyDescent="0.2"/>
    <row r="1314" s="1" customFormat="1" x14ac:dyDescent="0.2"/>
    <row r="1315" s="1" customFormat="1" x14ac:dyDescent="0.2"/>
    <row r="1316" s="1" customFormat="1" x14ac:dyDescent="0.2"/>
    <row r="1317" s="1" customFormat="1" x14ac:dyDescent="0.2"/>
    <row r="1318" s="1" customFormat="1" x14ac:dyDescent="0.2"/>
    <row r="1319" s="1" customFormat="1" x14ac:dyDescent="0.2"/>
    <row r="1320" s="1" customFormat="1" x14ac:dyDescent="0.2"/>
    <row r="1321" s="1" customFormat="1" x14ac:dyDescent="0.2"/>
    <row r="1322" s="1" customFormat="1" x14ac:dyDescent="0.2"/>
    <row r="1323" s="1" customFormat="1" x14ac:dyDescent="0.2"/>
    <row r="1324" s="1" customFormat="1" x14ac:dyDescent="0.2"/>
    <row r="1325" s="1" customFormat="1" x14ac:dyDescent="0.2"/>
    <row r="1326" s="1" customFormat="1" x14ac:dyDescent="0.2"/>
    <row r="1327" s="1" customFormat="1" x14ac:dyDescent="0.2"/>
    <row r="1328" s="1" customFormat="1" x14ac:dyDescent="0.2"/>
    <row r="1329" s="1" customFormat="1" x14ac:dyDescent="0.2"/>
    <row r="1330" s="1" customFormat="1" x14ac:dyDescent="0.2"/>
    <row r="1331" s="1" customFormat="1" x14ac:dyDescent="0.2"/>
    <row r="1332" s="1" customFormat="1" x14ac:dyDescent="0.2"/>
    <row r="1333" s="1" customFormat="1" x14ac:dyDescent="0.2"/>
    <row r="1334" s="1" customFormat="1" x14ac:dyDescent="0.2"/>
    <row r="1335" s="1" customFormat="1" x14ac:dyDescent="0.2"/>
    <row r="1336" s="1" customFormat="1" x14ac:dyDescent="0.2"/>
    <row r="1337" s="1" customFormat="1" x14ac:dyDescent="0.2"/>
    <row r="1338" s="1" customFormat="1" x14ac:dyDescent="0.2"/>
    <row r="1339" s="1" customFormat="1" x14ac:dyDescent="0.2"/>
    <row r="1340" s="1" customFormat="1" x14ac:dyDescent="0.2"/>
    <row r="1341" s="1" customFormat="1" x14ac:dyDescent="0.2"/>
    <row r="1342" s="1" customFormat="1" x14ac:dyDescent="0.2"/>
    <row r="1343" s="1" customFormat="1" x14ac:dyDescent="0.2"/>
    <row r="1344" s="1" customFormat="1" x14ac:dyDescent="0.2"/>
    <row r="1345" s="1" customFormat="1" x14ac:dyDescent="0.2"/>
    <row r="1346" s="1" customFormat="1" x14ac:dyDescent="0.2"/>
    <row r="1347" s="1" customFormat="1" x14ac:dyDescent="0.2"/>
    <row r="1348" s="1" customFormat="1" x14ac:dyDescent="0.2"/>
    <row r="1349" s="1" customFormat="1" x14ac:dyDescent="0.2"/>
    <row r="1350" s="1" customFormat="1" x14ac:dyDescent="0.2"/>
    <row r="1351" s="1" customFormat="1" x14ac:dyDescent="0.2"/>
    <row r="1352" s="1" customFormat="1" x14ac:dyDescent="0.2"/>
    <row r="1353" s="1" customFormat="1" x14ac:dyDescent="0.2"/>
    <row r="1354" s="1" customFormat="1" x14ac:dyDescent="0.2"/>
    <row r="1355" s="1" customFormat="1" x14ac:dyDescent="0.2"/>
    <row r="1356" s="1" customFormat="1" x14ac:dyDescent="0.2"/>
    <row r="1357" s="1" customFormat="1" x14ac:dyDescent="0.2"/>
    <row r="1358" s="1" customFormat="1" x14ac:dyDescent="0.2"/>
    <row r="1359" s="1" customFormat="1" x14ac:dyDescent="0.2"/>
    <row r="1360" s="1" customFormat="1" x14ac:dyDescent="0.2"/>
    <row r="1361" s="1" customFormat="1" x14ac:dyDescent="0.2"/>
    <row r="1362" s="1" customFormat="1" x14ac:dyDescent="0.2"/>
    <row r="1363" s="1" customFormat="1" x14ac:dyDescent="0.2"/>
    <row r="1364" s="1" customFormat="1" x14ac:dyDescent="0.2"/>
    <row r="1365" s="1" customFormat="1" x14ac:dyDescent="0.2"/>
    <row r="1366" s="1" customFormat="1" x14ac:dyDescent="0.2"/>
    <row r="1367" s="1" customFormat="1" x14ac:dyDescent="0.2"/>
    <row r="1368" s="1" customFormat="1" x14ac:dyDescent="0.2"/>
    <row r="1369" s="1" customFormat="1" x14ac:dyDescent="0.2"/>
    <row r="1370" s="1" customFormat="1" x14ac:dyDescent="0.2"/>
    <row r="1371" s="1" customFormat="1" x14ac:dyDescent="0.2"/>
    <row r="1372" s="1" customFormat="1" x14ac:dyDescent="0.2"/>
    <row r="1373" s="1" customFormat="1" x14ac:dyDescent="0.2"/>
    <row r="1374" s="1" customFormat="1" x14ac:dyDescent="0.2"/>
    <row r="1375" s="1" customFormat="1" x14ac:dyDescent="0.2"/>
    <row r="1376" s="1" customFormat="1" x14ac:dyDescent="0.2"/>
    <row r="1377" s="1" customFormat="1" x14ac:dyDescent="0.2"/>
    <row r="1378" s="1" customFormat="1" x14ac:dyDescent="0.2"/>
    <row r="1379" s="1" customFormat="1" x14ac:dyDescent="0.2"/>
    <row r="1380" s="1" customFormat="1" x14ac:dyDescent="0.2"/>
    <row r="1381" s="1" customFormat="1" x14ac:dyDescent="0.2"/>
    <row r="1382" s="1" customFormat="1" x14ac:dyDescent="0.2"/>
    <row r="1383" s="1" customFormat="1" x14ac:dyDescent="0.2"/>
    <row r="1384" s="1" customFormat="1" x14ac:dyDescent="0.2"/>
    <row r="1385" s="1" customFormat="1" x14ac:dyDescent="0.2"/>
    <row r="1386" s="1" customFormat="1" x14ac:dyDescent="0.2"/>
    <row r="1387" s="1" customFormat="1" x14ac:dyDescent="0.2"/>
    <row r="1388" s="1" customFormat="1" x14ac:dyDescent="0.2"/>
    <row r="1389" s="1" customFormat="1" x14ac:dyDescent="0.2"/>
    <row r="1390" s="1" customFormat="1" x14ac:dyDescent="0.2"/>
    <row r="1391" s="1" customFormat="1" x14ac:dyDescent="0.2"/>
    <row r="1392" s="1" customFormat="1" x14ac:dyDescent="0.2"/>
    <row r="1393" s="1" customFormat="1" x14ac:dyDescent="0.2"/>
    <row r="1394" s="1" customFormat="1" x14ac:dyDescent="0.2"/>
    <row r="1395" s="1" customFormat="1" x14ac:dyDescent="0.2"/>
    <row r="1396" s="1" customFormat="1" x14ac:dyDescent="0.2"/>
    <row r="1397" s="1" customFormat="1" x14ac:dyDescent="0.2"/>
    <row r="1398" s="1" customFormat="1" x14ac:dyDescent="0.2"/>
    <row r="1399" s="1" customFormat="1" x14ac:dyDescent="0.2"/>
    <row r="1400" s="1" customFormat="1" x14ac:dyDescent="0.2"/>
    <row r="1401" s="1" customFormat="1" x14ac:dyDescent="0.2"/>
    <row r="1402" s="1" customFormat="1" x14ac:dyDescent="0.2"/>
    <row r="1403" s="1" customFormat="1" x14ac:dyDescent="0.2"/>
    <row r="1404" s="1" customFormat="1" x14ac:dyDescent="0.2"/>
    <row r="1405" s="1" customFormat="1" x14ac:dyDescent="0.2"/>
    <row r="1406" s="1" customFormat="1" x14ac:dyDescent="0.2"/>
    <row r="1407" s="1" customFormat="1" x14ac:dyDescent="0.2"/>
    <row r="1408" s="1" customFormat="1" x14ac:dyDescent="0.2"/>
    <row r="1409" s="1" customFormat="1" x14ac:dyDescent="0.2"/>
    <row r="1410" s="1" customFormat="1" x14ac:dyDescent="0.2"/>
    <row r="1411" s="1" customFormat="1" x14ac:dyDescent="0.2"/>
    <row r="1412" s="1" customFormat="1" x14ac:dyDescent="0.2"/>
    <row r="1413" s="1" customFormat="1" x14ac:dyDescent="0.2"/>
    <row r="1414" s="1" customFormat="1" x14ac:dyDescent="0.2"/>
    <row r="1415" s="1" customFormat="1" x14ac:dyDescent="0.2"/>
    <row r="1416" s="1" customFormat="1" x14ac:dyDescent="0.2"/>
    <row r="1417" s="1" customFormat="1" x14ac:dyDescent="0.2"/>
    <row r="1418" s="1" customFormat="1" x14ac:dyDescent="0.2"/>
    <row r="1419" s="1" customFormat="1" x14ac:dyDescent="0.2"/>
    <row r="1420" s="1" customFormat="1" x14ac:dyDescent="0.2"/>
    <row r="1421" s="1" customFormat="1" x14ac:dyDescent="0.2"/>
    <row r="1422" s="1" customFormat="1" x14ac:dyDescent="0.2"/>
    <row r="1423" s="1" customFormat="1" x14ac:dyDescent="0.2"/>
    <row r="1424" s="1" customFormat="1" x14ac:dyDescent="0.2"/>
    <row r="1425" s="1" customFormat="1" x14ac:dyDescent="0.2"/>
    <row r="1426" s="1" customFormat="1" x14ac:dyDescent="0.2"/>
    <row r="1427" s="1" customFormat="1" x14ac:dyDescent="0.2"/>
    <row r="1428" s="1" customFormat="1" x14ac:dyDescent="0.2"/>
    <row r="1429" s="1" customFormat="1" x14ac:dyDescent="0.2"/>
    <row r="1430" s="1" customFormat="1" x14ac:dyDescent="0.2"/>
    <row r="1431" s="1" customFormat="1" x14ac:dyDescent="0.2"/>
    <row r="1432" s="1" customFormat="1" x14ac:dyDescent="0.2"/>
    <row r="1433" s="1" customFormat="1" x14ac:dyDescent="0.2"/>
    <row r="1434" s="1" customFormat="1" x14ac:dyDescent="0.2"/>
    <row r="1435" s="1" customFormat="1" x14ac:dyDescent="0.2"/>
    <row r="1436" s="1" customFormat="1" x14ac:dyDescent="0.2"/>
    <row r="1437" s="1" customFormat="1" x14ac:dyDescent="0.2"/>
    <row r="1438" s="1" customFormat="1" x14ac:dyDescent="0.2"/>
    <row r="1439" s="1" customFormat="1" x14ac:dyDescent="0.2"/>
    <row r="1440" s="1" customFormat="1" x14ac:dyDescent="0.2"/>
    <row r="1441" s="1" customFormat="1" x14ac:dyDescent="0.2"/>
    <row r="1442" s="1" customFormat="1" x14ac:dyDescent="0.2"/>
    <row r="1443" s="1" customFormat="1" x14ac:dyDescent="0.2"/>
    <row r="1444" s="1" customFormat="1" x14ac:dyDescent="0.2"/>
    <row r="1445" s="1" customFormat="1" x14ac:dyDescent="0.2"/>
    <row r="1446" s="1" customFormat="1" x14ac:dyDescent="0.2"/>
    <row r="1447" s="1" customFormat="1" x14ac:dyDescent="0.2"/>
    <row r="1448" s="1" customFormat="1" x14ac:dyDescent="0.2"/>
    <row r="1449" s="1" customFormat="1" x14ac:dyDescent="0.2"/>
    <row r="1450" s="1" customFormat="1" x14ac:dyDescent="0.2"/>
    <row r="1451" s="1" customFormat="1" x14ac:dyDescent="0.2"/>
    <row r="1452" s="1" customFormat="1" x14ac:dyDescent="0.2"/>
    <row r="1453" s="1" customFormat="1" x14ac:dyDescent="0.2"/>
    <row r="1454" s="1" customFormat="1" x14ac:dyDescent="0.2"/>
    <row r="1455" s="1" customFormat="1" x14ac:dyDescent="0.2"/>
    <row r="1456" s="1" customFormat="1" x14ac:dyDescent="0.2"/>
    <row r="1457" s="1" customFormat="1" x14ac:dyDescent="0.2"/>
    <row r="1458" s="1" customFormat="1" x14ac:dyDescent="0.2"/>
    <row r="1459" s="1" customFormat="1" x14ac:dyDescent="0.2"/>
    <row r="1460" s="1" customFormat="1" x14ac:dyDescent="0.2"/>
    <row r="1461" s="1" customFormat="1" x14ac:dyDescent="0.2"/>
    <row r="1462" s="1" customFormat="1" x14ac:dyDescent="0.2"/>
    <row r="1463" s="1" customFormat="1" x14ac:dyDescent="0.2"/>
    <row r="1464" s="1" customFormat="1" x14ac:dyDescent="0.2"/>
    <row r="1465" s="1" customFormat="1" x14ac:dyDescent="0.2"/>
    <row r="1466" s="1" customFormat="1" x14ac:dyDescent="0.2"/>
    <row r="1467" s="1" customFormat="1" x14ac:dyDescent="0.2"/>
    <row r="1468" s="1" customFormat="1" x14ac:dyDescent="0.2"/>
    <row r="1469" s="1" customFormat="1" x14ac:dyDescent="0.2"/>
    <row r="1470" s="1" customFormat="1" x14ac:dyDescent="0.2"/>
    <row r="1471" s="1" customFormat="1" x14ac:dyDescent="0.2"/>
    <row r="1472" s="1" customFormat="1" x14ac:dyDescent="0.2"/>
    <row r="1473" s="1" customFormat="1" x14ac:dyDescent="0.2"/>
    <row r="1474" s="1" customFormat="1" x14ac:dyDescent="0.2"/>
    <row r="1475" s="1" customFormat="1" x14ac:dyDescent="0.2"/>
    <row r="1476" s="1" customFormat="1" x14ac:dyDescent="0.2"/>
    <row r="1477" s="1" customFormat="1" x14ac:dyDescent="0.2"/>
    <row r="1478" s="1" customFormat="1" x14ac:dyDescent="0.2"/>
    <row r="1479" s="1" customFormat="1" x14ac:dyDescent="0.2"/>
    <row r="1480" s="1" customFormat="1" x14ac:dyDescent="0.2"/>
    <row r="1481" s="1" customFormat="1" x14ac:dyDescent="0.2"/>
    <row r="1482" s="1" customFormat="1" x14ac:dyDescent="0.2"/>
    <row r="1483" s="1" customFormat="1" x14ac:dyDescent="0.2"/>
    <row r="1484" s="1" customFormat="1" x14ac:dyDescent="0.2"/>
    <row r="1485" s="1" customFormat="1" x14ac:dyDescent="0.2"/>
    <row r="1486" s="1" customFormat="1" x14ac:dyDescent="0.2"/>
    <row r="1487" s="1" customFormat="1" x14ac:dyDescent="0.2"/>
    <row r="1488" s="1" customFormat="1" x14ac:dyDescent="0.2"/>
    <row r="1489" s="1" customFormat="1" x14ac:dyDescent="0.2"/>
    <row r="1490" s="1" customFormat="1" x14ac:dyDescent="0.2"/>
    <row r="1491" s="1" customFormat="1" x14ac:dyDescent="0.2"/>
    <row r="1492" s="1" customFormat="1" x14ac:dyDescent="0.2"/>
    <row r="1493" s="1" customFormat="1" x14ac:dyDescent="0.2"/>
    <row r="1494" s="1" customFormat="1" x14ac:dyDescent="0.2"/>
    <row r="1495" s="1" customFormat="1" x14ac:dyDescent="0.2"/>
    <row r="1496" s="1" customFormat="1" x14ac:dyDescent="0.2"/>
    <row r="1497" s="1" customFormat="1" x14ac:dyDescent="0.2"/>
    <row r="1498" s="1" customFormat="1" x14ac:dyDescent="0.2"/>
    <row r="1499" s="1" customFormat="1" x14ac:dyDescent="0.2"/>
    <row r="1500" s="1" customFormat="1" x14ac:dyDescent="0.2"/>
    <row r="1501" s="1" customFormat="1" x14ac:dyDescent="0.2"/>
    <row r="1502" s="1" customFormat="1" x14ac:dyDescent="0.2"/>
    <row r="1503" s="1" customFormat="1" x14ac:dyDescent="0.2"/>
    <row r="1504" s="1" customFormat="1" x14ac:dyDescent="0.2"/>
    <row r="1505" s="1" customFormat="1" x14ac:dyDescent="0.2"/>
    <row r="1506" s="1" customFormat="1" x14ac:dyDescent="0.2"/>
    <row r="1507" s="1" customFormat="1" x14ac:dyDescent="0.2"/>
    <row r="1508" s="1" customFormat="1" x14ac:dyDescent="0.2"/>
    <row r="1509" s="1" customFormat="1" x14ac:dyDescent="0.2"/>
    <row r="1510" s="1" customFormat="1" x14ac:dyDescent="0.2"/>
    <row r="1511" s="1" customFormat="1" x14ac:dyDescent="0.2"/>
    <row r="1512" s="1" customFormat="1" x14ac:dyDescent="0.2"/>
    <row r="1513" s="1" customFormat="1" x14ac:dyDescent="0.2"/>
    <row r="1514" s="1" customFormat="1" x14ac:dyDescent="0.2"/>
    <row r="1515" s="1" customFormat="1" x14ac:dyDescent="0.2"/>
    <row r="1516" s="1" customFormat="1" x14ac:dyDescent="0.2"/>
    <row r="1517" s="1" customFormat="1" x14ac:dyDescent="0.2"/>
    <row r="1518" s="1" customFormat="1" x14ac:dyDescent="0.2"/>
    <row r="1519" s="1" customFormat="1" x14ac:dyDescent="0.2"/>
    <row r="1520" s="1" customFormat="1" x14ac:dyDescent="0.2"/>
    <row r="1521" s="1" customFormat="1" x14ac:dyDescent="0.2"/>
    <row r="1522" s="1" customFormat="1" x14ac:dyDescent="0.2"/>
    <row r="1523" s="1" customFormat="1" x14ac:dyDescent="0.2"/>
    <row r="1524" s="1" customFormat="1" x14ac:dyDescent="0.2"/>
    <row r="1525" s="1" customFormat="1" x14ac:dyDescent="0.2"/>
    <row r="1526" s="1" customFormat="1" x14ac:dyDescent="0.2"/>
    <row r="1527" s="1" customFormat="1" x14ac:dyDescent="0.2"/>
    <row r="1528" s="1" customFormat="1" x14ac:dyDescent="0.2"/>
    <row r="1529" s="1" customFormat="1" x14ac:dyDescent="0.2"/>
    <row r="1530" s="1" customFormat="1" x14ac:dyDescent="0.2"/>
    <row r="1531" s="1" customFormat="1" x14ac:dyDescent="0.2"/>
    <row r="1532" s="1" customFormat="1" x14ac:dyDescent="0.2"/>
    <row r="1533" s="1" customFormat="1" x14ac:dyDescent="0.2"/>
    <row r="1534" s="1" customFormat="1" x14ac:dyDescent="0.2"/>
    <row r="1535" s="1" customFormat="1" x14ac:dyDescent="0.2"/>
    <row r="1536" s="1" customFormat="1" x14ac:dyDescent="0.2"/>
    <row r="1537" s="1" customFormat="1" x14ac:dyDescent="0.2"/>
    <row r="1538" s="1" customFormat="1" x14ac:dyDescent="0.2"/>
    <row r="1539" s="1" customFormat="1" x14ac:dyDescent="0.2"/>
    <row r="1540" s="1" customFormat="1" x14ac:dyDescent="0.2"/>
    <row r="1541" s="1" customFormat="1" x14ac:dyDescent="0.2"/>
    <row r="1542" s="1" customFormat="1" x14ac:dyDescent="0.2"/>
    <row r="1543" s="1" customFormat="1" x14ac:dyDescent="0.2"/>
    <row r="1544" s="1" customFormat="1" x14ac:dyDescent="0.2"/>
    <row r="1545" s="1" customFormat="1" x14ac:dyDescent="0.2"/>
    <row r="1546" s="1" customFormat="1" x14ac:dyDescent="0.2"/>
    <row r="1547" s="1" customFormat="1" x14ac:dyDescent="0.2"/>
    <row r="1548" s="1" customFormat="1" x14ac:dyDescent="0.2"/>
    <row r="1549" s="1" customFormat="1" x14ac:dyDescent="0.2"/>
    <row r="1550" s="1" customFormat="1" x14ac:dyDescent="0.2"/>
    <row r="1551" s="1" customFormat="1" x14ac:dyDescent="0.2"/>
    <row r="1552" s="1" customFormat="1" x14ac:dyDescent="0.2"/>
    <row r="1553" s="1" customFormat="1" x14ac:dyDescent="0.2"/>
    <row r="1554" s="1" customFormat="1" x14ac:dyDescent="0.2"/>
    <row r="1555" s="1" customFormat="1" x14ac:dyDescent="0.2"/>
    <row r="1556" s="1" customFormat="1" x14ac:dyDescent="0.2"/>
    <row r="1557" s="1" customFormat="1" x14ac:dyDescent="0.2"/>
    <row r="1558" s="1" customFormat="1" x14ac:dyDescent="0.2"/>
    <row r="1559" s="1" customFormat="1" x14ac:dyDescent="0.2"/>
    <row r="1560" s="1" customFormat="1" x14ac:dyDescent="0.2"/>
    <row r="1561" s="1" customFormat="1" x14ac:dyDescent="0.2"/>
    <row r="1562" s="1" customFormat="1" x14ac:dyDescent="0.2"/>
    <row r="1563" s="1" customFormat="1" x14ac:dyDescent="0.2"/>
    <row r="1564" s="1" customFormat="1" x14ac:dyDescent="0.2"/>
    <row r="1565" s="1" customFormat="1" x14ac:dyDescent="0.2"/>
    <row r="1566" s="1" customFormat="1" x14ac:dyDescent="0.2"/>
    <row r="1567" s="1" customFormat="1" x14ac:dyDescent="0.2"/>
    <row r="1568" s="1" customFormat="1" x14ac:dyDescent="0.2"/>
    <row r="1569" s="1" customFormat="1" x14ac:dyDescent="0.2"/>
    <row r="1570" s="1" customFormat="1" x14ac:dyDescent="0.2"/>
    <row r="1571" s="1" customFormat="1" x14ac:dyDescent="0.2"/>
    <row r="1572" s="1" customFormat="1" x14ac:dyDescent="0.2"/>
    <row r="1573" s="1" customFormat="1" x14ac:dyDescent="0.2"/>
    <row r="1574" s="1" customFormat="1" x14ac:dyDescent="0.2"/>
    <row r="1575" s="1" customFormat="1" x14ac:dyDescent="0.2"/>
    <row r="1576" s="1" customFormat="1" x14ac:dyDescent="0.2"/>
    <row r="1577" s="1" customFormat="1" x14ac:dyDescent="0.2"/>
    <row r="1578" s="1" customFormat="1" x14ac:dyDescent="0.2"/>
    <row r="1579" s="1" customFormat="1" x14ac:dyDescent="0.2"/>
    <row r="1580" s="1" customFormat="1" x14ac:dyDescent="0.2"/>
    <row r="1581" s="1" customFormat="1" x14ac:dyDescent="0.2"/>
    <row r="1582" s="1" customFormat="1" x14ac:dyDescent="0.2"/>
    <row r="1583" s="1" customFormat="1" x14ac:dyDescent="0.2"/>
    <row r="1584" s="1" customFormat="1" x14ac:dyDescent="0.2"/>
    <row r="1585" s="1" customFormat="1" x14ac:dyDescent="0.2"/>
    <row r="1586" s="1" customFormat="1" x14ac:dyDescent="0.2"/>
    <row r="1587" s="1" customFormat="1" x14ac:dyDescent="0.2"/>
    <row r="1588" s="1" customFormat="1" x14ac:dyDescent="0.2"/>
    <row r="1589" s="1" customFormat="1" x14ac:dyDescent="0.2"/>
    <row r="1590" s="1" customFormat="1" x14ac:dyDescent="0.2"/>
    <row r="1591" s="1" customFormat="1" x14ac:dyDescent="0.2"/>
    <row r="1592" s="1" customFormat="1" x14ac:dyDescent="0.2"/>
    <row r="1593" s="1" customFormat="1" x14ac:dyDescent="0.2"/>
    <row r="1594" s="1" customFormat="1" x14ac:dyDescent="0.2"/>
    <row r="1595" s="1" customFormat="1" x14ac:dyDescent="0.2"/>
    <row r="1596" s="1" customFormat="1" x14ac:dyDescent="0.2"/>
    <row r="1597" s="1" customFormat="1" x14ac:dyDescent="0.2"/>
    <row r="1598" s="1" customFormat="1" x14ac:dyDescent="0.2"/>
    <row r="1599" s="1" customFormat="1" x14ac:dyDescent="0.2"/>
    <row r="1600" s="1" customFormat="1" x14ac:dyDescent="0.2"/>
    <row r="1601" s="1" customFormat="1" x14ac:dyDescent="0.2"/>
    <row r="1602" s="1" customFormat="1" x14ac:dyDescent="0.2"/>
    <row r="1603" s="1" customFormat="1" x14ac:dyDescent="0.2"/>
    <row r="1604" s="1" customFormat="1" x14ac:dyDescent="0.2"/>
    <row r="1605" s="1" customFormat="1" x14ac:dyDescent="0.2"/>
    <row r="1606" s="1" customFormat="1" x14ac:dyDescent="0.2"/>
    <row r="1607" s="1" customFormat="1" x14ac:dyDescent="0.2"/>
    <row r="1608" s="1" customFormat="1" x14ac:dyDescent="0.2"/>
    <row r="1609" s="1" customFormat="1" x14ac:dyDescent="0.2"/>
    <row r="1610" s="1" customFormat="1" x14ac:dyDescent="0.2"/>
    <row r="1611" s="1" customFormat="1" x14ac:dyDescent="0.2"/>
    <row r="1612" s="1" customFormat="1" x14ac:dyDescent="0.2"/>
    <row r="1613" s="1" customFormat="1" x14ac:dyDescent="0.2"/>
    <row r="1614" s="1" customFormat="1" x14ac:dyDescent="0.2"/>
    <row r="1615" s="1" customFormat="1" x14ac:dyDescent="0.2"/>
    <row r="1616" s="1" customFormat="1" x14ac:dyDescent="0.2"/>
    <row r="1617" s="1" customFormat="1" x14ac:dyDescent="0.2"/>
    <row r="1618" s="1" customFormat="1" x14ac:dyDescent="0.2"/>
    <row r="1619" s="1" customFormat="1" x14ac:dyDescent="0.2"/>
    <row r="1620" s="1" customFormat="1" x14ac:dyDescent="0.2"/>
    <row r="1621" s="1" customFormat="1" x14ac:dyDescent="0.2"/>
    <row r="1622" s="1" customFormat="1" x14ac:dyDescent="0.2"/>
    <row r="1623" s="1" customFormat="1" x14ac:dyDescent="0.2"/>
    <row r="1624" s="1" customFormat="1" x14ac:dyDescent="0.2"/>
    <row r="1625" s="1" customFormat="1" x14ac:dyDescent="0.2"/>
    <row r="1626" s="1" customFormat="1" x14ac:dyDescent="0.2"/>
    <row r="1627" s="1" customFormat="1" x14ac:dyDescent="0.2"/>
    <row r="1628" s="1" customFormat="1" x14ac:dyDescent="0.2"/>
    <row r="1629" s="1" customFormat="1" x14ac:dyDescent="0.2"/>
    <row r="1630" s="1" customFormat="1" x14ac:dyDescent="0.2"/>
    <row r="1631" s="1" customFormat="1" x14ac:dyDescent="0.2"/>
    <row r="1632" s="1" customFormat="1" x14ac:dyDescent="0.2"/>
    <row r="1633" s="1" customFormat="1" x14ac:dyDescent="0.2"/>
    <row r="1634" s="1" customFormat="1" x14ac:dyDescent="0.2"/>
    <row r="1635" s="1" customFormat="1" x14ac:dyDescent="0.2"/>
    <row r="1636" s="1" customFormat="1" x14ac:dyDescent="0.2"/>
    <row r="1637" s="1" customFormat="1" x14ac:dyDescent="0.2"/>
    <row r="1638" s="1" customFormat="1" x14ac:dyDescent="0.2"/>
    <row r="1639" s="1" customFormat="1" x14ac:dyDescent="0.2"/>
    <row r="1640" s="1" customFormat="1" x14ac:dyDescent="0.2"/>
    <row r="1641" s="1" customFormat="1" x14ac:dyDescent="0.2"/>
    <row r="1642" s="1" customFormat="1" x14ac:dyDescent="0.2"/>
    <row r="1643" s="1" customFormat="1" x14ac:dyDescent="0.2"/>
    <row r="1644" s="1" customFormat="1" x14ac:dyDescent="0.2"/>
    <row r="1645" s="1" customFormat="1" x14ac:dyDescent="0.2"/>
    <row r="1646" s="1" customFormat="1" x14ac:dyDescent="0.2"/>
    <row r="1647" s="1" customFormat="1" x14ac:dyDescent="0.2"/>
    <row r="1648" s="1" customFormat="1" x14ac:dyDescent="0.2"/>
    <row r="1649" s="1" customFormat="1" x14ac:dyDescent="0.2"/>
    <row r="1650" s="1" customFormat="1" x14ac:dyDescent="0.2"/>
    <row r="1651" s="1" customFormat="1" x14ac:dyDescent="0.2"/>
    <row r="1652" s="1" customFormat="1" x14ac:dyDescent="0.2"/>
    <row r="1653" s="1" customFormat="1" x14ac:dyDescent="0.2"/>
    <row r="1654" s="1" customFormat="1" x14ac:dyDescent="0.2"/>
    <row r="1655" s="1" customFormat="1" x14ac:dyDescent="0.2"/>
    <row r="1656" s="1" customFormat="1" x14ac:dyDescent="0.2"/>
    <row r="1657" s="1" customFormat="1" x14ac:dyDescent="0.2"/>
    <row r="1658" s="1" customFormat="1" x14ac:dyDescent="0.2"/>
    <row r="1659" s="1" customFormat="1" x14ac:dyDescent="0.2"/>
    <row r="1660" s="1" customFormat="1" x14ac:dyDescent="0.2"/>
    <row r="1661" s="1" customFormat="1" x14ac:dyDescent="0.2"/>
    <row r="1662" s="1" customFormat="1" x14ac:dyDescent="0.2"/>
    <row r="1663" s="1" customFormat="1" x14ac:dyDescent="0.2"/>
  </sheetData>
  <sheetProtection algorithmName="SHA-512" hashValue="JSAt2885IzRc03GritfNIkZXpezOv5ORSLbPEG16FtULkPaYRWwt1aeIav5fb4KAfm9lUjhgS2PbhvrqYZjtQw==" saltValue="Rc5xZyBqjL8tLX0LQTxP6A==" spinCount="100000" sheet="1" objects="1" scenarios="1" selectLockedCells="1"/>
  <mergeCells count="46">
    <mergeCell ref="D3:S3"/>
    <mergeCell ref="C5:C13"/>
    <mergeCell ref="J21:J22"/>
    <mergeCell ref="J26:J27"/>
    <mergeCell ref="E6:S6"/>
    <mergeCell ref="J8:R8"/>
    <mergeCell ref="J12:R12"/>
    <mergeCell ref="G8:H8"/>
    <mergeCell ref="G10:H10"/>
    <mergeCell ref="G12:H12"/>
    <mergeCell ref="C15:C39"/>
    <mergeCell ref="G18:H18"/>
    <mergeCell ref="E8:F8"/>
    <mergeCell ref="E10:F10"/>
    <mergeCell ref="E12:F12"/>
    <mergeCell ref="E16:R16"/>
    <mergeCell ref="E55:R55"/>
    <mergeCell ref="E54:R54"/>
    <mergeCell ref="E45:F45"/>
    <mergeCell ref="E46:F46"/>
    <mergeCell ref="E47:F47"/>
    <mergeCell ref="E48:F48"/>
    <mergeCell ref="E49:F49"/>
    <mergeCell ref="E50:F50"/>
    <mergeCell ref="G45:H45"/>
    <mergeCell ref="G46:H46"/>
    <mergeCell ref="G49:H49"/>
    <mergeCell ref="G50:H50"/>
    <mergeCell ref="G47:H47"/>
    <mergeCell ref="G48:H48"/>
    <mergeCell ref="E43:R43"/>
    <mergeCell ref="C42:C51"/>
    <mergeCell ref="J10:R11"/>
    <mergeCell ref="G32:H32"/>
    <mergeCell ref="G22:H22"/>
    <mergeCell ref="G27:H27"/>
    <mergeCell ref="J31:J32"/>
    <mergeCell ref="F21:F22"/>
    <mergeCell ref="F26:F27"/>
    <mergeCell ref="F31:F32"/>
    <mergeCell ref="Q21:Q22"/>
    <mergeCell ref="Q26:Q27"/>
    <mergeCell ref="Q31:Q32"/>
    <mergeCell ref="F36:F37"/>
    <mergeCell ref="G37:H37"/>
    <mergeCell ref="Q36:Q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16</vt:i4>
      </vt:variant>
    </vt:vector>
  </HeadingPairs>
  <TitlesOfParts>
    <vt:vector size="17" baseType="lpstr">
      <vt:lpstr>BAP String Layout Post Setup </vt:lpstr>
      <vt:lpstr>_2PostBuss</vt:lpstr>
      <vt:lpstr>_2PostControl</vt:lpstr>
      <vt:lpstr>_2PostSetting</vt:lpstr>
      <vt:lpstr>_2PostString</vt:lpstr>
      <vt:lpstr>_2PostYoke</vt:lpstr>
      <vt:lpstr>BussLength</vt:lpstr>
      <vt:lpstr>BussTwists</vt:lpstr>
      <vt:lpstr>ControlLength</vt:lpstr>
      <vt:lpstr>ControlTwists</vt:lpstr>
      <vt:lpstr>LengthVariable</vt:lpstr>
      <vt:lpstr>PostWidth</vt:lpstr>
      <vt:lpstr>StringLength</vt:lpstr>
      <vt:lpstr>StringTwists</vt:lpstr>
      <vt:lpstr>TwistRate</vt:lpstr>
      <vt:lpstr>YokeLength</vt:lpstr>
      <vt:lpstr>YokeTwists</vt:lpstr>
    </vt:vector>
  </TitlesOfParts>
  <Company>IPCO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IPC</dc:creator>
  <cp:lastModifiedBy>Julie Bergen</cp:lastModifiedBy>
  <cp:lastPrinted>2015-12-31T16:33:51Z</cp:lastPrinted>
  <dcterms:created xsi:type="dcterms:W3CDTF">2014-11-20T19:47:52Z</dcterms:created>
  <dcterms:modified xsi:type="dcterms:W3CDTF">2026-02-05T17:53:54Z</dcterms:modified>
</cp:coreProperties>
</file>